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P1_Test_Plan" sheetId="2" r:id="rId6"/>
    <sheet state="visible" name="P1_RTM" sheetId="3" r:id="rId7"/>
    <sheet state="visible" name="P1_Test_Cases" sheetId="4" r:id="rId8"/>
    <sheet state="visible" name="P1_Test_Execution_Report" sheetId="5" r:id="rId9"/>
    <sheet state="visible" name="P1_Bug_Report" sheetId="6" r:id="rId10"/>
    <sheet state="visible" name="P2_Test_Plan" sheetId="7" r:id="rId11"/>
    <sheet state="visible" name="P2_RTM" sheetId="8" r:id="rId12"/>
    <sheet state="visible" name="P2_Test_Cases" sheetId="9" r:id="rId13"/>
    <sheet state="visible" name="P2_Test_Execution_Report" sheetId="10" r:id="rId14"/>
    <sheet state="visible" name="P2_Bug_Report"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Replace project names on P1_Test_Plan!B4 and P2_Test_Plan!B4.</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Use unique IDs like TC-001, TC-002.</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Use unique IDs like TC-001, TC-002.</t>
      </text>
    </comment>
  </commentList>
</comments>
</file>

<file path=xl/sharedStrings.xml><?xml version="1.0" encoding="utf-8"?>
<sst xmlns="http://schemas.openxmlformats.org/spreadsheetml/2006/main" count="1270" uniqueCount="603">
  <si>
    <t>QA PORTFOLIO DASHBOARD FOR NGUYEN MINH KHANG</t>
  </si>
  <si>
    <t>Portfolio overview</t>
  </si>
  <si>
    <t>Metric</t>
  </si>
  <si>
    <t>Project 1</t>
  </si>
  <si>
    <t>Project 2</t>
  </si>
  <si>
    <t>Total / Notes</t>
  </si>
  <si>
    <t>Project name</t>
  </si>
  <si>
    <t>Sports Store Management (WinForms)</t>
  </si>
  <si>
    <t>Vietnamese Spell Correction Model</t>
  </si>
  <si>
    <t>Project 1 + Project 2</t>
  </si>
  <si>
    <t>Planned test cases</t>
  </si>
  <si>
    <t>Passed</t>
  </si>
  <si>
    <t>Failed</t>
  </si>
  <si>
    <t>Blocked</t>
  </si>
  <si>
    <t>Pass rate</t>
  </si>
  <si>
    <t>95.24%</t>
  </si>
  <si>
    <t>85.71%</t>
  </si>
  <si>
    <t>93.88%</t>
  </si>
  <si>
    <t>Bug reports</t>
  </si>
  <si>
    <t>Open bugs</t>
  </si>
  <si>
    <t>Closed / Verified</t>
  </si>
  <si>
    <t>CV-ready bullets (draft yourself using truthful metrics)</t>
  </si>
  <si>
    <t>Executed 49 manual test cases across Desktop and NLP-based systems with full execution coverage.</t>
  </si>
  <si>
    <t>Achieved 93.88% overall pass rate across both projects.</t>
  </si>
  <si>
    <t>Reported 3 defects with detailed reproduction steps and severity classification.</t>
  </si>
  <si>
    <t>Applied structured QA documentation process (Test Plan, RTM, Test Cases, Execution Report, Bug Log).</t>
  </si>
  <si>
    <t>Project 1 — Test Plan</t>
  </si>
  <si>
    <t>Project Name</t>
  </si>
  <si>
    <t>Sports Store Management System — Manual Testing Portfolio (WinForms + SQL Server)</t>
  </si>
  <si>
    <t>System Type</t>
  </si>
  <si>
    <t>Desktop Application (C# WinForms, 3-tier architecture: GUI / BLL / DAL) with SQL Server database.</t>
  </si>
  <si>
    <t>Version / Build</t>
  </si>
  <si>
    <t>Demo build (Academic Project, 2023) — aligned with final report (N15.docx).</t>
  </si>
  <si>
    <t>Project Description</t>
  </si>
  <si>
    <t xml:space="preserve">- The system is a desktop application for managing a sports equipment store with the following roles:
+ Admin (Store Owner)
+ Sales Staff
+ Cashier
+ Warehouse Staff
Main functionalities include:
+ Login / Logout / Change Password
+ Customer Management
+ Product Management
+ Employee Management
+ Invoice Creation &amp; Management
+ Promotion &amp; Discount Handling
+ Cash &amp; QR Payment
+ Invoice Printing (PDF/Printer workflow)
+ Top-Selling Products &amp; Revenue Statistics
+ Role-Based Access Control (RBAC)
</t>
  </si>
  <si>
    <t>Test Objective</t>
  </si>
  <si>
    <t xml:space="preserve">- To build a comprehensive Manual Testing Portfolio, including:
+ Test Plan
+ RTM (Requirement Traceability Matrix)
+ 42 Test Cases
+ Bug Report Log
+ Test Execution Report
+ Dashboard Summary
- Focus areas:
+ Sales workflow (Invoice creation → Promotion → Payment → Print)
+ CRUD operations (Customer / Product / Employee)
+ Role-based access control (Admin vs Staff)
+ Input validation &amp; business rules
+ Negative testing &amp; boundary validation
</t>
  </si>
  <si>
    <t>In Scope</t>
  </si>
  <si>
    <t xml:space="preserve">The following functional areas are covered:
* Authentication &amp; Account
- C1–C3: Login / Logout / Change Password
+ Password length validation (6–16 characters)
+ Password masking
- Customer Management
+ C5, C23: View / Add / Search Customer by Name
- Product Management
+ C9–C11: View / Add / Edit / Delete Product
+ Input validation (Price &gt; 0, Quantity &gt; 0, required fields)
* Employee Management
- C12–C14, C27: Create / Edit / Delete / Search Employee
- Validation:
+ Required fields
+ Date of Birth format
+ Age ≥ 18
+ Phone format
+ Salary ≥ 0
+ File upload validation
* Invoice &amp; Promotion
- C16–C21:
+ Create Invoice
+ Apply Promotion
+ Cash Payment
+ QR Payment
+ View Invoice List
+ View Invoice Detail
* Reporting
- C15:
+ Top-Selling Products
+ Ranking logic validation
+ Filter Top 10 / Top 20
* Security
- C28: Role-Based Access Control (RBAC)
+ Admin: Full CRUD access
+ Staff: Restricted access
- Basic Non-Functional Checks
+ Data persistence
+ UI response behavior
+ Invoice export / PDF generation
 (Not including performance stress testing)
</t>
  </si>
  <si>
    <t>Out of Scope</t>
  </si>
  <si>
    <t>- Load / Stress testing
- Security penetration testing
- Production deployment &amp; monitoring
- Integration with physical thermal printer (only workflow / PDF validation tested)</t>
  </si>
  <si>
    <t>Test Types</t>
  </si>
  <si>
    <t>- Functional Testing
- UI Testing
- Smoke Testing
- Regression Testing
- Negative Testing
- Boundary Value Analysis (BVA)
- Equivalence Partitioning (EP)
- Data Validation &amp; Persistence Testing</t>
  </si>
  <si>
    <t>Environment</t>
  </si>
  <si>
    <t>- Windows 10 / 11
- SQL Server (Local)
- Application executed via Visual Studio
- Documentation tools: Excel (Test Cases, RTM, Bug Log)
- Optional: Jira (basic bug tracking simulation)</t>
  </si>
  <si>
    <t>Entry Criteria</t>
  </si>
  <si>
    <t>- Application builds and runs successfully
- Database initialized with sample data
- Test accounts available (Admin &amp; Staff)
- Access to all required modules</t>
  </si>
  <si>
    <t>Exit Criteria</t>
  </si>
  <si>
    <t>- Smoke tests completed
- All 42 test cases executed
- All High priority test cases completed
- Defects logged with full reproduction steps &amp; evidence
- Failed cases retested (if fixed)
- Dashboard &amp; summary update</t>
  </si>
  <si>
    <t>Risks / Assumptions</t>
  </si>
  <si>
    <t>- Academic project — some business rules may be simplified
- Some validation rules depend on actual implementation logic
- Performance threshold in documentation (“minimum delay 40s”) assumed to mean acceptable response time ≤ 40 seconds</t>
  </si>
  <si>
    <t>Deliverables</t>
  </si>
  <si>
    <t>- Test Plan
- RTM (mapped to 42 test cases)
- Test Cases (42)
- Bug Report Log (2 defects)
- Test Execution Report
- Dashboard Summary
- Evidence Pack (PDF screenshots)</t>
  </si>
  <si>
    <t>Evidence Links</t>
  </si>
  <si>
    <t>GitHub repo</t>
  </si>
  <si>
    <t>Evidence Pack</t>
  </si>
  <si>
    <t>Project 1 Evidence Pack (PDF)</t>
  </si>
  <si>
    <t>Task</t>
  </si>
  <si>
    <t>Owner</t>
  </si>
  <si>
    <t>Planned Date</t>
  </si>
  <si>
    <t>Actual Date</t>
  </si>
  <si>
    <t>Status</t>
  </si>
  <si>
    <t>Note</t>
  </si>
  <si>
    <t>Requirement review</t>
  </si>
  <si>
    <t>Khang</t>
  </si>
  <si>
    <t xml:space="preserve">Done </t>
  </si>
  <si>
    <t/>
  </si>
  <si>
    <t>Test case design</t>
  </si>
  <si>
    <t>42 Test Cases</t>
  </si>
  <si>
    <t>Test execution</t>
  </si>
  <si>
    <t>Smoke + Full Suite</t>
  </si>
  <si>
    <t>Bug reporting &amp; re-test</t>
  </si>
  <si>
    <t>2 Bugs Logged</t>
  </si>
  <si>
    <t>Summary update</t>
  </si>
  <si>
    <t>Dashboard Updated</t>
  </si>
  <si>
    <t>Project 1 — Requirement Traceability Matrix</t>
  </si>
  <si>
    <t>Req ID</t>
  </si>
  <si>
    <t>Module</t>
  </si>
  <si>
    <t>Requirement / Business Rule</t>
  </si>
  <si>
    <t>Priority</t>
  </si>
  <si>
    <t>Scenario ID</t>
  </si>
  <si>
    <t>Test Case IDs</t>
  </si>
  <si>
    <t>Coverage Status</t>
  </si>
  <si>
    <t>Notes</t>
  </si>
  <si>
    <t>FR-01</t>
  </si>
  <si>
    <t>Functional</t>
  </si>
  <si>
    <t>The system shall allow store owners (Admin role) to manage products currently available for sale, including adding new products, editing product information (price, description), deleting products, and managing product categories.</t>
  </si>
  <si>
    <t>High</t>
  </si>
  <si>
    <t>SCN-C9-01; SCN-C9-02; SCN-C9-03; SCN-C9-04;
SCN-C11-01;
SCN-C10-01</t>
  </si>
  <si>
    <t>TC-010; TC-011; TC-012; TC-013;
TC-036; TC-037</t>
  </si>
  <si>
    <t>Covered</t>
  </si>
  <si>
    <t>Includes positive and negative validation cases (Invalid Price, Quantity = 0).</t>
  </si>
  <si>
    <t>FR-02</t>
  </si>
  <si>
    <t>The system shall allow staff to manage customer records including adding, updating, deleting, and searching customer information.</t>
  </si>
  <si>
    <t>SCN-C5-01; SCN-C6-01; SCN-C7-01; SCN-C23-01</t>
  </si>
  <si>
    <t>TC-007; TC-008; TC-009</t>
  </si>
  <si>
    <t>Includes customer CRUD operations and validation rules.</t>
  </si>
  <si>
    <t>FR-03</t>
  </si>
  <si>
    <t>The system shall allow customers to complete payments using two methods: direct (cash) payment or bank transfer/QR payment. The system shall calculate totals accurately and generate invoices accordingly.</t>
  </si>
  <si>
    <t>SCN-C17-01;
SCN-C16-01;
SCN-18-01;
SCN-18-02;
SCN-C20-01;
SCN-C21-01</t>
  </si>
  <si>
    <t>TC-014;
TC-015;
TC-016;
TC-017;
TC-018;
TC-019</t>
  </si>
  <si>
    <t>Includes invoice creation, promotion application, payment methods, invoice list view, and invoice detail view.</t>
  </si>
  <si>
    <t>FR-04</t>
  </si>
  <si>
    <t>The system shall allow authorized users to manage employee information, including creating accounts, updating personal details, validating employee data (salary, date of birth, phone number), and deleting employee records.</t>
  </si>
  <si>
    <t>SCN-C27-01; SCN-C27-02;
SCN-C12-01; SCN-C12-02;
SCN-C14-01; SCN-C14-02; SCN-C14-03; SCN-C14-04;
SCN-C14-05; SCN-C14-06; SCN-C14-07; SCN-C14-08;
SCN-C14-09; SCN-C14-10;
SCN-C13-01; SCN-C13-02</t>
  </si>
  <si>
    <t>TC-020; TC-021;
TC-022; TC-023;
TC-024; TC-025; TC-026; TC-027;
TC-028; TC-029; TC-030; TC-031;
TC-032; TC-033;
TC-034; TC-035</t>
  </si>
  <si>
    <t>Includes boundary testing, validation rules, and negative test cases.</t>
  </si>
  <si>
    <t>FR-05</t>
  </si>
  <si>
    <t>The system shall provide statistical reports, including top-selling products (Top 10).</t>
  </si>
  <si>
    <t>Medium</t>
  </si>
  <si>
    <t>SCN-C15-01; SCN-C15-02; SCN-C15-03</t>
  </si>
  <si>
    <t>TC-038; TC-039; TC-040</t>
  </si>
  <si>
    <t xml:space="preserve">Mapped to C15 – Statistics Module
</t>
  </si>
  <si>
    <t>FR-06</t>
  </si>
  <si>
    <t>Role-Based Access Control: The system shall restrict access based on user roles (Admin, Staff). Admin has full access to all modules including Customer Management, Product Management, Employee Management, Invoice, Reports and Statistics. Staff is limited to Sales (Invoice creation) and updating their own profile only.</t>
  </si>
  <si>
    <t xml:space="preserve">SCN-C28-01; SCN-C28-02 </t>
  </si>
  <si>
    <t>TC-041; TC-042</t>
  </si>
  <si>
    <t>Role-based access verification</t>
  </si>
  <si>
    <t>UC-C1</t>
  </si>
  <si>
    <t>Use Case</t>
  </si>
  <si>
    <t>C1 - Login: Users must authenticate with valid credentials before accessing the system.</t>
  </si>
  <si>
    <t>SCN-C1-01; SCN-C1-02; SCN-C1-03; SCN-C1-04; SCN-C1-05; SCN-NFR-SEC-01</t>
  </si>
  <si>
    <t>TC-001; TC-002; TC-003; TC-004; TC-005; TC-006</t>
  </si>
  <si>
    <t>UC-C2</t>
  </si>
  <si>
    <t>C2 - Logout: Users must be logged in before performing logout operation.</t>
  </si>
  <si>
    <t>SCN-C2-01; SCN-C2-02</t>
  </si>
  <si>
    <t>TC-004</t>
  </si>
  <si>
    <t>UC-C3</t>
  </si>
  <si>
    <t>C3 - Change Password: Authenticated users can change their password by providing valid current and new password information.</t>
  </si>
  <si>
    <t>SCN-C3-01; SCN-C3-02; SCN-C3-03; SCN-C3-04; SCN-C3-05; SCN-C3-06</t>
  </si>
  <si>
    <t>TC-005; TC-006</t>
  </si>
  <si>
    <t>UC-C4</t>
  </si>
  <si>
    <t>C4 - View Customer Information: Authorized users can view customer details after successful login.</t>
  </si>
  <si>
    <t>SCN-C4-01; SCN-C4-02</t>
  </si>
  <si>
    <t>TC-009</t>
  </si>
  <si>
    <t>UC-C5</t>
  </si>
  <si>
    <t>C5 - Add New Customer: Staff can register new customers when they purchase for the first time and request membership registration.</t>
  </si>
  <si>
    <t>SCN-C5-01; SCN-C5-02; SCN-C5-03; SCN-C5-04; SCN-C5-05</t>
  </si>
  <si>
    <t>TC-007; TC-008</t>
  </si>
  <si>
    <t>UC-C6</t>
  </si>
  <si>
    <t>C6 - Delete Customer: Authorized users can delete customer information when necessary.</t>
  </si>
  <si>
    <t>SCN-C6-01; SCN-C6-02</t>
  </si>
  <si>
    <t>UC-C7</t>
  </si>
  <si>
    <t>C7 - Edit Customer Information: Authorized users can update customer information when required.</t>
  </si>
  <si>
    <t>SCN-C7-01; SCN-C7-02; SCN-C7-03; SCN-C7-04</t>
  </si>
  <si>
    <t>UC-C8</t>
  </si>
  <si>
    <t>C8 - View Product List: Authorized users can view product information when necessary.</t>
  </si>
  <si>
    <t>SCN-C8-01; SCN-C8-02</t>
  </si>
  <si>
    <t>TC-010; TC-011</t>
  </si>
  <si>
    <t>UC-C9</t>
  </si>
  <si>
    <t>C9 - Add New Product: Authorized users can add new product information when launching products for sale.</t>
  </si>
  <si>
    <t>SCN-C9-01; SCN-C9-02; SCN-C9-03; SCN-C9-04; SCN-C9-05; SCN-C9-06; SCN-C9-07; SCN-C9-08</t>
  </si>
  <si>
    <t>UC-C10</t>
  </si>
  <si>
    <t>C10 - Delete Product: Authorized users can delete product information when a product is discontinued.</t>
  </si>
  <si>
    <t>SCN-C10-01; SCN-C10-02</t>
  </si>
  <si>
    <t>TC-013</t>
  </si>
  <si>
    <t>UC-C11</t>
  </si>
  <si>
    <t>C11 - Edit Product Information: Authorized users can update product information when necessary.</t>
  </si>
  <si>
    <t>SCN-C11-01; SCN-C11-02; SCN-C11-03; SCN-C11-04; SCN-C11-05; SCN-C11-06</t>
  </si>
  <si>
    <t>TC-012</t>
  </si>
  <si>
    <t>Project 1 — Test Cases</t>
  </si>
  <si>
    <t>TC ID</t>
  </si>
  <si>
    <t>Feature</t>
  </si>
  <si>
    <t>Preconditions</t>
  </si>
  <si>
    <t>Steps</t>
  </si>
  <si>
    <t>Test Data</t>
  </si>
  <si>
    <t>Expected Result</t>
  </si>
  <si>
    <t>Actual Result</t>
  </si>
  <si>
    <t>Severity</t>
  </si>
  <si>
    <t>TC-001</t>
  </si>
  <si>
    <t>Authentication</t>
  </si>
  <si>
    <t>C1 – Login</t>
  </si>
  <si>
    <t>SCN-C1-01</t>
  </si>
  <si>
    <t>Application is on the Login screen; a valid user account exists in the database.</t>
  </si>
  <si>
    <t>1. Enter a valid email address
2. Enter the correct password
3. Click the “Đăng Nhập” (Login) button</t>
  </si>
  <si>
    <t>email: &lt;valid&gt;
password: &lt;valid&gt;</t>
  </si>
  <si>
    <t>User logs in successfully and is redirected to the main screen according to their assigned role. No error message is displayed.</t>
  </si>
  <si>
    <t>Login successful; user is redirected to the correct role-based Home screen.
EVD-01 (Login), EVD-02 (Home)</t>
  </si>
  <si>
    <t>Pass</t>
  </si>
  <si>
    <t>EVD-01 (Login), EVD-02 (Home)</t>
  </si>
  <si>
    <t>TC-002</t>
  </si>
  <si>
    <t>SCN-C1-02</t>
  </si>
  <si>
    <t>1. Enter an invalid email address
2. Enter any password
3. Click the “Đăng Nhập” (Login) button</t>
  </si>
  <si>
    <t>email: invalid@x.com
password: any</t>
  </si>
  <si>
    <t>System displays an “Invalid email or password” message and remains on the Login screen.</t>
  </si>
  <si>
    <t>Error message displayed; login attempt rejected.
EVD-01 (Login – error)</t>
  </si>
  <si>
    <t>EVD-01 (Login - error)</t>
  </si>
  <si>
    <t>TC-003</t>
  </si>
  <si>
    <t>SCN-C1-03</t>
  </si>
  <si>
    <t>1. Enter a valid email address
2. Enter an incorrect password
3. Click the “Đăng Nhập” (Login) button</t>
  </si>
  <si>
    <t>email: &lt;valid&gt;
password: wrong</t>
  </si>
  <si>
    <t>System displays an “Invalid email or password” message and prevents login.</t>
  </si>
  <si>
    <t>Validation message displayed; login not allowed.
EVD-01 (Login – validation)</t>
  </si>
  <si>
    <t>EVD-01 (Login - validation)</t>
  </si>
  <si>
    <t>C2 – Logout</t>
  </si>
  <si>
    <t>SCN-C2-01</t>
  </si>
  <si>
    <t>User has successfully logged in and is currently on the Home screen.</t>
  </si>
  <si>
    <t>1. Click the “Đăng xuất” (Logout) option from the menu
2. Confirm logout (if confirmation dialog appears)</t>
  </si>
  <si>
    <t>N/A</t>
  </si>
  <si>
    <t>User is logged out successfully and redirected to the Login screen.</t>
  </si>
  <si>
    <t>Logout successful; system redirects to Login screen.
EVD-01 (Back to Login)</t>
  </si>
  <si>
    <t>EVD-01 (Back to Login)</t>
  </si>
  <si>
    <t>TC-005</t>
  </si>
  <si>
    <t>Account</t>
  </si>
  <si>
    <t>C3 – Change Password</t>
  </si>
  <si>
    <t>SCN-C3-01</t>
  </si>
  <si>
    <t>User is logged in and has opened the “Profile / Change Password” screen.</t>
  </si>
  <si>
    <t>1. Enter a valid new password (6–16 characters)
2. Click the “Thay đổi” (Change) button
3. Log out and log in again using the new password</t>
  </si>
  <si>
    <t>new password: Abc@1234</t>
  </si>
  <si>
    <t>Password is updated successfully. User can log in again using the new password.</t>
  </si>
  <si>
    <t>Valid password entered (6–16 characters); system updates password successfully.
Evidence: N/A (demo)</t>
  </si>
  <si>
    <t>TC-006</t>
  </si>
  <si>
    <t>SCN-C3-02</t>
  </si>
  <si>
    <t>1. Enter a new password with fewer than 6 characters
2. Click the “Thay đổi” (Change) button</t>
  </si>
  <si>
    <t>new password: Ab12</t>
  </si>
  <si>
    <t>Password is not updated. System displays a validation error indicating minimum length of 6 characters.</t>
  </si>
  <si>
    <t>Password shorter than 6 characters entered; system blocks update and displays validation error message.
Evidence: N/A (demo)</t>
  </si>
  <si>
    <t>TC-007</t>
  </si>
  <si>
    <t>Customer</t>
  </si>
  <si>
    <t>C5 – Add Customer</t>
  </si>
  <si>
    <t>SCN-C5-01</t>
  </si>
  <si>
    <t>User is logged in as Staff and has “Customer Management” permission.</t>
  </si>
  <si>
    <t>1. Click the “Add” button
2. Enter all required fields (Full Name, Phone Number)
3. Click “Add/Save”</t>
  </si>
  <si>
    <t>Name: Nguyễn A
Phone: 0912345678</t>
  </si>
  <si>
    <t>Customer is added successfully and appears in the customer list. No duplicate data is created.</t>
  </si>
  <si>
    <t>Customer with valid Full Name and Phone Number is saved successfully.
Evidence: N/A (demo)</t>
  </si>
  <si>
    <t>TC-008</t>
  </si>
  <si>
    <t>SCN-C5-02</t>
  </si>
  <si>
    <t>1. Click the “Add” button
2. Leave the Phone Number field empty
3. Click “Add/Save”</t>
  </si>
  <si>
    <t>Name: Nguyễn A
Phone: (empty)</t>
  </si>
  <si>
    <t>System prevents saving and displays a validation warning for missing required fields.</t>
  </si>
  <si>
    <t>Missing Phone Number or Full Name; system blocks submission and requests required information.
Evidence: N/A (demo)</t>
  </si>
  <si>
    <t>C23 – Search Customer by Name</t>
  </si>
  <si>
    <t>SCN-C23-01</t>
  </si>
  <si>
    <t>1. Navigate to “Customer Management”
2. Select search criteria: Name
3. Enter keyword
4. Click “Search”</t>
  </si>
  <si>
    <t>keyword: 'Quang'</t>
  </si>
  <si>
    <t>System returns customers whose names contain the keyword. No error occurs.</t>
  </si>
  <si>
    <t>Customer list is filtered correctly based on name keyword.
Evidence: N/A (demo)</t>
  </si>
  <si>
    <t>TC-010</t>
  </si>
  <si>
    <t>Product</t>
  </si>
  <si>
    <t>C9 – Add Product</t>
  </si>
  <si>
    <t>SCN-C9-01</t>
  </si>
  <si>
    <t>User is logged in as Admin and has “Product Management” permission.</t>
  </si>
  <si>
    <t>1. Click the “Add” button
2. Enter all required fields
3. Upload product image (if applicable)
4. Click “Add”</t>
  </si>
  <si>
    <t>Product Name: Giày A
Brand: NIKE
Category: Sports Shoes
Price: 300000
Quantity: 10
Status: Active</t>
  </si>
  <si>
    <t>Product is added successfully and appears in the product list.</t>
  </si>
  <si>
    <t>Product is added successfully without any errors.
EVD-04 (Create Product), EVD-03 (Product List)</t>
  </si>
  <si>
    <t>EVD-04 (Create Product), EVD-03 (Product List)</t>
  </si>
  <si>
    <t>TC-011</t>
  </si>
  <si>
    <t>SCN-C9-02</t>
  </si>
  <si>
    <t xml:space="preserve">1. Leave Product Name field empty
2. Click “Add”
</t>
  </si>
  <si>
    <t>Product Name: (empty)
Brand: NIKE
Category: Sports Shoes
Price: 300000
Quantity: 10</t>
  </si>
  <si>
    <t xml:space="preserve">System should prevent product creation.
Validation message "Product Name is required" should be displayed.
Product must not be saved to the database.
</t>
  </si>
  <si>
    <t>System allowed product creation without entering Product Name.
No validation message was displayed.
Product was saved successfully in the database.
This behavior violates the required field validation rule.</t>
  </si>
  <si>
    <t>Fail</t>
  </si>
  <si>
    <t>EVD-04 (Create Product)</t>
  </si>
  <si>
    <t>C11 – Edit Product</t>
  </si>
  <si>
    <t>SCN-C11-01</t>
  </si>
  <si>
    <t>User is logged in as Admin and has “Product Management” permission.
At least one product exists in the product list.</t>
  </si>
  <si>
    <t>1. Select a product
2. Click “View/Edit”
3. Modify the Price field
4. Click “Update”</t>
  </si>
  <si>
    <t>New Price: 350000</t>
  </si>
  <si>
    <t>Product is updated successfully. The product list displays the updated price.</t>
  </si>
  <si>
    <t>Product information updated successfully. Product price updated successfully and displayed correctly in product list.
EVD-05 (Edit Product)</t>
  </si>
  <si>
    <t>EVD-05 (Edit Product)</t>
  </si>
  <si>
    <t>C10 – Delete Product</t>
  </si>
  <si>
    <t>SCN-C10-01</t>
  </si>
  <si>
    <t>1. Select a product
2. Click “Delete”
3. Confirm deletion (OK)</t>
  </si>
  <si>
    <t>Product is deleted successfully and removed from the product list.</t>
  </si>
  <si>
    <t>Confirmation dialog displayed; after confirmation, product is removed from the list.
Evidence: N/A (demo)</t>
  </si>
  <si>
    <t>TC-014</t>
  </si>
  <si>
    <t>Invoice</t>
  </si>
  <si>
    <t>C17 – Create Invoice</t>
  </si>
  <si>
    <t>SCN-C17-01</t>
  </si>
  <si>
    <t>User is logged in (Cashier/Sales/Warehouse Staff) with “Invoice Management” and “Customer Management” permissions.
Customer and product data are available.</t>
  </si>
  <si>
    <t>1. Navigate to “Customer Management”
2. Select a customer
3. Click “Order”
4. Select product and quantity
5. Click “Order/Checkout”</t>
  </si>
  <si>
    <t>Customer: Lê Ngọc Quang
Product: Giày …
Quantity: 1</t>
  </si>
  <si>
    <t>Invoice is created successfully.
Total amount = Unit Price × Quantity.
Invoice is saved in the invoice list.</t>
  </si>
  <si>
    <t>Invoice created successfully: customer selected → product &amp; quantity selected → total calculated → invoice saved.
EVD-06 (Invoice List), EVD-09 (Invoice PDF)</t>
  </si>
  <si>
    <t>EVD-06 (Invoice List), EVD-09 (Invoice PDF)</t>
  </si>
  <si>
    <t>TC-015</t>
  </si>
  <si>
    <t>C16 – Apply Promotion</t>
  </si>
  <si>
    <t>SCN-C16-01</t>
  </si>
  <si>
    <t>User is logged in with invoice permissions.
Customer and product selected.
User is at promotion selection step.</t>
  </si>
  <si>
    <t>1. Select 10% discount
2. Confirm checkout</t>
  </si>
  <si>
    <t>Discount: 10%</t>
  </si>
  <si>
    <t>Final amount = Total × (1 – 10%).
Discount amount is displayed correctly.</t>
  </si>
  <si>
    <t>Promotion applied successfully; total amount updated correctly according to discount percentage.
EVD-09 (Invoice PDF)</t>
  </si>
  <si>
    <t>EVD-09 (Invoice PDF)</t>
  </si>
  <si>
    <t>TC-016</t>
  </si>
  <si>
    <t>Payment</t>
  </si>
  <si>
    <t>C18 – Cash Payment</t>
  </si>
  <si>
    <t>SCN-18-01</t>
  </si>
  <si>
    <t>User is logged in with invoice permissions.
Customer and product selected.
User is at payment method selection screen.</t>
  </si>
  <si>
    <t>1. Select “Direct/Cash” payment method
2. Confirm order</t>
  </si>
  <si>
    <t>Invoice is created successfully.
Payment method displayed as “Direct” on invoice.</t>
  </si>
  <si>
    <t>Cash payment processed successfully; invoice printed/exported successfully.
EVD-09 (Invoice PDF)</t>
  </si>
  <si>
    <t>TC-017</t>
  </si>
  <si>
    <t>C19 – Bank Transfer / QR Payment</t>
  </si>
  <si>
    <t>SCN-18-02</t>
  </si>
  <si>
    <t xml:space="preserve">1. Select “Bank Transfer / QR” payment method
2. Wait for QR code to display
3. Click “Exit” (optional)
</t>
  </si>
  <si>
    <t>QR code (e.g., MoMo/Bank QR) is displayed.
Exit button is available.
Application does not freeze.</t>
  </si>
  <si>
    <t>QR code displayed successfully for customer scanning.
EVD-08 (MoMo QR)</t>
  </si>
  <si>
    <t>EVD-08 (MoMo QR)</t>
  </si>
  <si>
    <t>TC-018</t>
  </si>
  <si>
    <t>C20 – View Invoice List</t>
  </si>
  <si>
    <t>SCN-C20-01</t>
  </si>
  <si>
    <t>User is logged in.
At least one invoice exists.</t>
  </si>
  <si>
    <t>1. Navigate to “Invoice Management”
2. Observe invoice list</t>
  </si>
  <si>
    <t>Invoice list displays columns such as Invoice ID, Created Date, Total Amount, Promotion, Customer Name, etc.</t>
  </si>
  <si>
    <t>Invoice list displays all required columns correctly.
EVD-06 (Invoice List)</t>
  </si>
  <si>
    <t>EVD-06 (Invoice List)</t>
  </si>
  <si>
    <t>TC-019</t>
  </si>
  <si>
    <t>C21 – View Invoice Detail</t>
  </si>
  <si>
    <t>SCN-C21-01</t>
  </si>
  <si>
    <t>1. Select an invoice
2. Click “Detail”</t>
  </si>
  <si>
    <t>Product lines are displayed (Product Name, Quantity, Unit Price).
Total amount matches calculated value.</t>
  </si>
  <si>
    <t>Invoice details display correct product list, quantity, and unit price corresponding to invoice ID.
EVD-07 (Invoice Detail)</t>
  </si>
  <si>
    <t>EVD-07 (Invoice Detail)</t>
  </si>
  <si>
    <t>TC-020</t>
  </si>
  <si>
    <t>Employee</t>
  </si>
  <si>
    <t>C27 – Search Employee by Name</t>
  </si>
  <si>
    <t>SCN-C27-01</t>
  </si>
  <si>
    <t>User is logged into the system.</t>
  </si>
  <si>
    <t>1. Navigate to “Employee Management”
2. Enter an existing employee name
3. Click “Search”</t>
  </si>
  <si>
    <t>Name: Nguyễn A</t>
  </si>
  <si>
    <t>System displays employee(s) matching the searched name.</t>
  </si>
  <si>
    <t>Employee found and displayed correctly.</t>
  </si>
  <si>
    <t>TC-021</t>
  </si>
  <si>
    <t>SCN-C27-02</t>
  </si>
  <si>
    <t>1. Navigate to “Employee Management”
2. Enter a non-existing employee name
3. Click “Search”</t>
  </si>
  <si>
    <t>Name: xyznotfound</t>
  </si>
  <si>
    <t>System displays an empty list or a “No employee found” message.</t>
  </si>
  <si>
    <t>No employee found.</t>
  </si>
  <si>
    <t>Low</t>
  </si>
  <si>
    <t>TC-022</t>
  </si>
  <si>
    <t>C12 – Create Employee Account</t>
  </si>
  <si>
    <t>SCN-C12-01</t>
  </si>
  <si>
    <t>1. Navigate to “Employee Management”
2. Click “Add”
3. Enter all required employee information
4. Click “Create Account”</t>
  </si>
  <si>
    <t>Name: Nguyễn A
Email: nva@shop.com
Password: Abc@1234</t>
  </si>
  <si>
    <t>Employee account is created successfully.</t>
  </si>
  <si>
    <t>Employee account created successfully.</t>
  </si>
  <si>
    <t>TC-023</t>
  </si>
  <si>
    <t>SCN-C12-02</t>
  </si>
  <si>
    <t>1. Navigate to “Employee Management”
2. Click “Add”
3. Leave Email field empty
4. Click “Create Account”</t>
  </si>
  <si>
    <t>Email: (empty)</t>
  </si>
  <si>
    <t xml:space="preserve">System should prevent employee account creation.
Validation message "Email is required" should be displayed.
Account must not be created.
</t>
  </si>
  <si>
    <t xml:space="preserve">System allowed employee account creation without entering Email.
No validation message was shown.
Employee account was successfully created in the system.
This behavior violates mandatory field validation requirement.
</t>
  </si>
  <si>
    <t>TC-024</t>
  </si>
  <si>
    <t>C14 – Edit Employee Information</t>
  </si>
  <si>
    <t>SCN-C14-01</t>
  </si>
  <si>
    <t>1. Navigate to “Employee Management”
2. Search for an employee
3. Click “Edit”
4. Update employee information
5. Click “Update”</t>
  </si>
  <si>
    <t>New Name: Nguyễn A1</t>
  </si>
  <si>
    <t>Employee information is updated successfully.</t>
  </si>
  <si>
    <t>Employee information updated successfully.
EVD-11 (Employee Management)</t>
  </si>
  <si>
    <t>EVD-11(Employee Management)</t>
  </si>
  <si>
    <t>TC-025</t>
  </si>
  <si>
    <t>SCN-C14-02</t>
  </si>
  <si>
    <t>1. Navigate to “Employee Management”
2. Search for an employee
3. Click “Edit”
4. Leave Name field empty
5. Click “Update”</t>
  </si>
  <si>
    <t>Name: (empty)</t>
  </si>
  <si>
    <t>System prevents update and displays validation message for missing name.</t>
  </si>
  <si>
    <t>Employee information is not updated.</t>
  </si>
  <si>
    <t>TC-026</t>
  </si>
  <si>
    <t>SCN-C14-03</t>
  </si>
  <si>
    <t>1. Navigate to “Employee Management”
2. Search for an employee
3. Click “Edit”
4. Enter invalid Date of Birth
5. Click “Update”</t>
  </si>
  <si>
    <t>Format invalid (32/13/2024)</t>
  </si>
  <si>
    <t>System prevents update and displays validation message:
“Invalid Date of Birth format.”</t>
  </si>
  <si>
    <t>Employee information is not updated. Validation message displayed correctly.</t>
  </si>
  <si>
    <t>TC-027</t>
  </si>
  <si>
    <t>SCN-C14-04</t>
  </si>
  <si>
    <t>1. Navigate to “Employee Management”
2. Search for an employee
3. Click “Edit”
4. Enter a Year of Birth greater than the current year
5. Click “Update”</t>
  </si>
  <si>
    <t>Year of Birth: 2027</t>
  </si>
  <si>
    <t>System prevents update and displays validation message: “Invalid Year of Birth”.</t>
  </si>
  <si>
    <t>TC-028</t>
  </si>
  <si>
    <t>SCN-C14-05</t>
  </si>
  <si>
    <t>Year of Birth: 2025 (Employee age &lt; 18)</t>
  </si>
  <si>
    <t>TC-029</t>
  </si>
  <si>
    <t>SCN-C14-06</t>
  </si>
  <si>
    <t>1. Navigate to “Employee Management”
2. Search for an employee
3. Click “Edit”
4. Enter valid Date of Birth
5. Click “Update”</t>
  </si>
  <si>
    <t>Year of Birth: 2008 (18 years old)</t>
  </si>
  <si>
    <t>TC-030</t>
  </si>
  <si>
    <t>SCN-C14-07</t>
  </si>
  <si>
    <t>1. Navigate to “Employee Management”
2. Search for an employee
3. Click “Edit”
4. Enter Full Name exceeding 100 characters
5. Click “Update”</t>
  </si>
  <si>
    <t>Full Name: &gt; 100 characters</t>
  </si>
  <si>
    <t>System prevents update and displays validation message for exceeding maximum character limit.</t>
  </si>
  <si>
    <t>TC-031</t>
  </si>
  <si>
    <t>SCN-C14-08</t>
  </si>
  <si>
    <t>1. Navigate to “Employee Management”
2. Search for an employee
3. Click “Edit”
4. Enter invalid Phone Number
5. Click “Update”</t>
  </si>
  <si>
    <t>Phone Number: 01234567890 (11 digits)</t>
  </si>
  <si>
    <t>System prevents update and displays validation message: “Invalid Phone Number”.</t>
  </si>
  <si>
    <t>TC-032</t>
  </si>
  <si>
    <t>SCN-C14-09</t>
  </si>
  <si>
    <t>1. Navigate to “Employee Management”
2. Search for an employee
3. Click “Edit”
4. Enter invalid Salary
5. Click “Update”</t>
  </si>
  <si>
    <t>Salary: -5000000</t>
  </si>
  <si>
    <t>System prevents update and displays validation message: “Invalid Salary”.</t>
  </si>
  <si>
    <t>TC-033</t>
  </si>
  <si>
    <t>SCN-C14-10</t>
  </si>
  <si>
    <t>1. Navigate to “Employee Management”
2. Search for an employee
3. Click “Edit”
4. Upload invalid avatar file format
5. Click “Update”</t>
  </si>
  <si>
    <t>Avatar file: .exe</t>
  </si>
  <si>
    <t>System prevents upload; only .jpg or .png formats are allowed.</t>
  </si>
  <si>
    <t>Invalid file upload rejected; employee information is not updated.</t>
  </si>
  <si>
    <t>TC-034</t>
  </si>
  <si>
    <t>C13 – Delete Employee</t>
  </si>
  <si>
    <t>SCN-C13-01</t>
  </si>
  <si>
    <t>1. Navigate to “Employee Management”
2. Select an employee to delete
3. Click “Delete”
4. Confirm deletion (OK)</t>
  </si>
  <si>
    <t>Employee is deleted successfully and removed from the employee list.</t>
  </si>
  <si>
    <t>Employee deleted successfully.</t>
  </si>
  <si>
    <t>TC-035</t>
  </si>
  <si>
    <t>SCN-C13-02</t>
  </si>
  <si>
    <t>1. Navigate to “Employee Management”
2. Select an employee to delete
3. Click “Delete”
4. Click “Cancel”</t>
  </si>
  <si>
    <t>Employee is not deleted; employee data remains unchanged.</t>
  </si>
  <si>
    <t>Employee is not deleted.</t>
  </si>
  <si>
    <t>TC-036</t>
  </si>
  <si>
    <t>SCN-C9-03</t>
  </si>
  <si>
    <t>1. Click “Add”
2. Enter all required fields
3. Upload image (if applicable)
4. Click “Add”</t>
  </si>
  <si>
    <t>Price: -100000</t>
  </si>
  <si>
    <t>System prevents product creation and displays validation message: “Invalid Price”.</t>
  </si>
  <si>
    <t>Product is not added.</t>
  </si>
  <si>
    <t>TC-037</t>
  </si>
  <si>
    <t>SCN-C9-04</t>
  </si>
  <si>
    <t>Quantity: 0</t>
  </si>
  <si>
    <t>System prevents product creation and displays validation message:
“Quantity must be greater than 0”</t>
  </si>
  <si>
    <t>TC-038</t>
  </si>
  <si>
    <t>Report</t>
  </si>
  <si>
    <t>C15 – View Top-Selling Products</t>
  </si>
  <si>
    <t>SCN-C15-01</t>
  </si>
  <si>
    <t>User is logged in.
Sales data exists in the system.</t>
  </si>
  <si>
    <t>1. Navigate to “Statistics / Report”
2. Select “Top-Selling Products”</t>
  </si>
  <si>
    <t>System displays a list of top-selling products sorted by quantity sold in descending order.</t>
  </si>
  <si>
    <t>Top-selling products are displayed correctly based on total quantity sold.</t>
  </si>
  <si>
    <t>TC-039</t>
  </si>
  <si>
    <t xml:space="preserve">C15 – Filter Top 10 </t>
  </si>
  <si>
    <t>SCN-C15-02</t>
  </si>
  <si>
    <t>User is on the Statistics screen.</t>
  </si>
  <si>
    <t>1. Select “Top 10”
2. Observe result
3. Select “Top 20”
4. Observe result</t>
  </si>
  <si>
    <t>System displays correct number of products based on selected filter.</t>
  </si>
  <si>
    <t>Correct number of products displayed according to selected ranking.</t>
  </si>
  <si>
    <t>TC-040</t>
  </si>
  <si>
    <t>C15 – Ranking Logic Validation</t>
  </si>
  <si>
    <t>SCN-C15-03</t>
  </si>
  <si>
    <t>Sales data exists with different quantities.</t>
  </si>
  <si>
    <t>1. Compare sales quantity of products in report
2. Verify sorting order</t>
  </si>
  <si>
    <t>Products are sorted strictly in descending order by total quantity sold.</t>
  </si>
  <si>
    <t>Sorting order is correct.</t>
  </si>
  <si>
    <t>TC-041</t>
  </si>
  <si>
    <t>Security</t>
  </si>
  <si>
    <t>C28 – RBAC (Admin Access)</t>
  </si>
  <si>
    <t>SCN-C28-01</t>
  </si>
  <si>
    <t>User logs in as Admin.</t>
  </si>
  <si>
    <t>1. Access Product Management
2. Access Customer Management
3. Access Employee Management
4. Access Invoice Management
5. Access Statistics / Report
6. Perform Add / Edit / Delete operations in each module</t>
  </si>
  <si>
    <t>Admin can access all modules and perform all CRUD operations without restriction.</t>
  </si>
  <si>
    <t xml:space="preserve">Admin successfully accessed Product, Customer, Employee, Invoice, and Statistics modules.
All Create, Edit, and Delete operations were performed without restriction.
No permission errors were displayed.
</t>
  </si>
  <si>
    <t>TC-042</t>
  </si>
  <si>
    <t>C28 – RBAC (Staff Restriction)</t>
  </si>
  <si>
    <t>SCN-C28-02</t>
  </si>
  <si>
    <t>User logs in as Staff.</t>
  </si>
  <si>
    <t>1. Attempt to access Product List
2. Attempt to access Statistics
3. Create a new invoice
4. Edit own profile</t>
  </si>
  <si>
    <t>Access to management and statistics modules is denied.
Staff can create invoices successfully.
Staff can update only their own profile.</t>
  </si>
  <si>
    <t xml:space="preserve">Access to Product Management, Employee Management, and Statistics modules was denied.
System displayed “Permission Denied” message when restricted modules were accessed.
Staff successfully created a new invoice.
Staff was able to update their own profile but could not modify other employee accounts.
</t>
  </si>
  <si>
    <t>Project 1 — Test Execution Report (Smoke + Key Flows)</t>
  </si>
  <si>
    <t>This report summarizes executed test cases and key findings aligned with the current test coverage.</t>
  </si>
  <si>
    <t>Execution Summary</t>
  </si>
  <si>
    <t>Executed Test Cases</t>
  </si>
  <si>
    <t>Key Defects (Open)</t>
  </si>
  <si>
    <t>Executed (Key) Test Cases</t>
  </si>
  <si>
    <t>Linked Defect</t>
  </si>
  <si>
    <t>Evidence</t>
  </si>
  <si>
    <t>C1 Login</t>
  </si>
  <si>
    <t>C2 Logout</t>
  </si>
  <si>
    <t>C3 Change Password</t>
  </si>
  <si>
    <t>C5 Add Customer</t>
  </si>
  <si>
    <t>C23 Search Customer by Name</t>
  </si>
  <si>
    <t>C9 Add Product</t>
  </si>
  <si>
    <t>BUG-101</t>
  </si>
  <si>
    <t>C11 Edit Product</t>
  </si>
  <si>
    <t>C10 Delete Product</t>
  </si>
  <si>
    <t>C17 Create Invoice</t>
  </si>
  <si>
    <t>C16 Apply Promotion</t>
  </si>
  <si>
    <t>C18 Cash Payment</t>
  </si>
  <si>
    <t>C19 Bank Transfer / QR Payment</t>
  </si>
  <si>
    <t>C20 View Invoice List</t>
  </si>
  <si>
    <t>C21 View Invoice Detail</t>
  </si>
  <si>
    <t>C27 Search Employee by Name</t>
  </si>
  <si>
    <t>C12 Create Employee Account</t>
  </si>
  <si>
    <t>BUG-102</t>
  </si>
  <si>
    <t>C14 Edit Employee Information</t>
  </si>
  <si>
    <t>EVD-11 (Employee Management)</t>
  </si>
  <si>
    <t>C13 Delete Employee</t>
  </si>
  <si>
    <t>C15 View Top-Selling Products</t>
  </si>
  <si>
    <t>EVD-10 (Statistics)</t>
  </si>
  <si>
    <t>C15 Filter Top Ranking</t>
  </si>
  <si>
    <t>C15 Ranking Logic Validation</t>
  </si>
  <si>
    <t>C28 RBAC – Admin Access</t>
  </si>
  <si>
    <t>C28 RBAC – Staff Restriction</t>
  </si>
  <si>
    <t>Project 1 — Bug Report Log</t>
  </si>
  <si>
    <t>Bug ID</t>
  </si>
  <si>
    <t>Summary</t>
  </si>
  <si>
    <t>Steps to Reproduce</t>
  </si>
  <si>
    <t>Reported Date</t>
  </si>
  <si>
    <t>Notes/Evidence</t>
  </si>
  <si>
    <t>[Add Product] System allows product creation without required Product Name</t>
  </si>
  <si>
    <t>Windows 10/11 + SQL Server (Local)</t>
  </si>
  <si>
    <t>1. Navigate to Product Management → Add
2. Leave Product Name empty
3. Click “Add”</t>
  </si>
  <si>
    <t>System should prevent product creation.
Validation message “Product Name is required” should be displayed.
Product must not be saved to database.</t>
  </si>
  <si>
    <t>System allowed product creation without entering Product Name.
No validation message was displayed.
Product was saved successfully in the database.</t>
  </si>
  <si>
    <t>Open</t>
  </si>
  <si>
    <t>Related Test Case: TC-011</t>
  </si>
  <si>
    <t>[Create Employee Account] System allows account creation without Email</t>
  </si>
  <si>
    <t>1. Navigate to Employee Management → Add
2. Leave Email field empty
3. Click “Create Account”</t>
  </si>
  <si>
    <t>System should prevent employee account creation.
Validation message “Email is required” should be displayed.
Account must not be created.</t>
  </si>
  <si>
    <t>System allowed employee account creation without entering Email.
No validation message was shown.
Employee account was successfully created in the system.</t>
  </si>
  <si>
    <t>Related Test Case: TC-023</t>
  </si>
  <si>
    <t>Project 2 — Test Plan</t>
  </si>
  <si>
    <t>Vietnamese Spell Correction Model — Manual Testing Portfolio (Python, NLP, ViT5, Hugging Face, PyTorch)</t>
  </si>
  <si>
    <t>NLP-based Vietnamese text correction system (ViT5 model fine-tuned for Vietnamese administrative texts)</t>
  </si>
  <si>
    <t>Demo build (academic project, 2025) — portfolio for final report (Vietnamese Spell Correction Model)</t>
  </si>
  <si>
    <t>- This system focuses on automatic detection and correction of spelling, punctuation, and grammar errors in Vietnamese administrative texts, including formal and legal-style documents.
- The system uses a pre-trained ViT5 model fine-tuned on a custom dataset containing incorrect–correct sentence pairs. The goal is to support automated document correction within the administrative domain.</t>
  </si>
  <si>
    <t>Build a Manual Testing Portfolio based on the required documents: Test Plan + RTM + Test Cases + Bug Reports. Focus on testing error detection and correction performance, user interaction with the system, and the efficiency of the Vietnamese administrative text correction process.</t>
  </si>
  <si>
    <t xml:space="preserve">In Scope:
- Error Detection: Ability of the system to correctly detect errors such as spelling mistakes, punctuation errors, grammar errors, etc.
- Error Correction: Accuracy of the model in fixing errors.
- User Interface (UI): Testing of user input interface where users provide text to be corrected (via command line or simple UI interface).
- Performance Metrics: Evaluation based on Precision, Recall, F1 score, and Perfect Correction Rate.
- Basic NFR checks: Response time (for small/medium datasets), handling edge cases like complex administrative sentences, and stability.
</t>
  </si>
  <si>
    <t>Out of Scope:
- Stress/Load Testing: High-volume input testing.
- Real-time performance testing: Not required for academic portfolio.
- Integration with other systems: No external integrations like OCR for document scanning, etc.</t>
  </si>
  <si>
    <t>Functional Testing,UI Testing (basic interaction via command-line),Regression Testing (retesting previous fixes),Negative Testing (testing with erroneous data that should fail),Boundary Value Analysis (BVA),Equivalence Partitioning (EP),Data Validation</t>
  </si>
  <si>
    <t>- Operating System: Windows 10/11
- Model Training: Google Colab, Python (PyTorch, Hugging Face)
- Test Tools:
   + Python (for testing scripts and running the model)
   + GitHub (for tracking progress, model files, and scripts)
   + Jupyter Notebooks (for running and testing demo models)
   + Google Colab (for model training)
- Test Data: Pre-processed Vietnamese administrative text dataset.</t>
  </si>
  <si>
    <t>- Model trained and tested on initial dataset (basic error-correction tasks).
- Test data prepared and pre-processed.
- System setup in Colab or local environment, ready for input testing.</t>
  </si>
  <si>
    <t>- All planned test cases executed.
- High/Critical defects fixed and retested.
- Bug report logs filled out with evidence.
- Final evaluation metrics documented and analyzed.</t>
  </si>
  <si>
    <t>- Risk of low-quality input data affecting model performance.
- Assumption: Basic NLP tasks like spelling correction may work as expected, but more complex syntax issues might need further optimization.
- The model might not handle real-world administrative documents with errors as well as expected due to the limited scope of the training dataset.
- Additional Risks:
+The model may produce semantically inconsistent outputs for heavily corrupted inputs.
+ Performance is optimized for administrative-domain texts and may degrade outside this domain.
+ No confidence threshold filtering is currently implemented.</t>
  </si>
  <si>
    <t>- Test Plan
- RTM (Requirements Traceability Matrix)
- Test Cases (e.g., error detection, correction performance)
- Bug Report Log (with sample bug reports and resolutions)
- Final Summary Document
- Model Evaluation Metrics (Precision, Recall, F1 score)</t>
  </si>
  <si>
    <t>Evidence Pack - Project 2</t>
  </si>
  <si>
    <t>7 Test Cases</t>
  </si>
  <si>
    <t>Executed full functional test suite (7 cases)</t>
  </si>
  <si>
    <t>1 Bug Logged</t>
  </si>
  <si>
    <t>Project 2— Requirement Traceability Matrix</t>
  </si>
  <si>
    <t>Text Correction: The application should be able to correct spelling mistakes, add missing diacritics, and format text appropriately.</t>
  </si>
  <si>
    <t>SCN-C1-01; SCN-C1-02; SCN-C1-03</t>
  </si>
  <si>
    <t>TC-001; TC-002; TC-003</t>
  </si>
  <si>
    <t>Mapped to C1-01, C1-02, C1-03</t>
  </si>
  <si>
    <t>The system should always return a prediction output for any valid Vietnamese text input without crashing or throwing runtime errors.</t>
  </si>
  <si>
    <t>SCN-C1-04</t>
  </si>
  <si>
    <t>Mapped to C1-04</t>
  </si>
  <si>
    <t>Model Evaluation: The model should be evaluated on precision, recall, and F1-score metrics to ensure its quality.</t>
  </si>
  <si>
    <t>SCN-PERF-01</t>
  </si>
  <si>
    <t>Mapped to PERF-01</t>
  </si>
  <si>
    <t>User Interface</t>
  </si>
  <si>
    <t>Input Field Validation: The application should validate the input field and display appropriate messages for invalid inputs.</t>
  </si>
  <si>
    <t>SCN-UI-01</t>
  </si>
  <si>
    <t>Mapped to UI-01</t>
  </si>
  <si>
    <t>Input Validation: The system should handle special characters (e.g., &lt;, &gt;, &amp;) and avoid security vulnerabilities like XSS injections.</t>
  </si>
  <si>
    <t>SCN-S1-01</t>
  </si>
  <si>
    <t>Mapped to S1-01</t>
  </si>
  <si>
    <t>Project 2 — Test Cases</t>
  </si>
  <si>
    <t>Vietnamese Spell Correction</t>
  </si>
  <si>
    <t>Text Correction</t>
  </si>
  <si>
    <t>The application is running and the model is loaded.</t>
  </si>
  <si>
    <t>1. Input a text containing a spelling mistake (e.g., "can cu" instead of "căn cứ").
2. Run the correction function.
3. Observe the output.</t>
  </si>
  <si>
    <t>i) Tên mẫu đơ, mtu tờ khai: Không quy định.</t>
  </si>
  <si>
    <t>The system should correct the input to "i) Tên mẫu đơn, mẫu tờ khai: Không quy định.".</t>
  </si>
  <si>
    <t>i) Tên mẫu đơn, mẫu tờ khai: Không quy định.</t>
  </si>
  <si>
    <t>[EVD-01] (Correction Output Screenshot)</t>
  </si>
  <si>
    <t>1. Input a text with missing diacritics (e.g., "ngay 01 thang 01 nam 2024").
2. Run the correction function.
3. Observe the output.</t>
  </si>
  <si>
    <t>"ngay 01 thang 01 nam 2024"</t>
  </si>
  <si>
    <t>The system should add missing diacritics, correcting the input to "Ngày 01 tháng 01 năm 2024".</t>
  </si>
  <si>
    <t>1. Input a long paragraph with multiple spelling and grammatical errors.
2. Run the correction function.
3. Observe the output.</t>
  </si>
  <si>
    <t>- Tăng đđộ tuổi được quỹ BHYT chi tảr chi í điều trrị lác, cận thị và tật khúc xạ mắt du 6 utổi đến dưới 18 tuổi.</t>
  </si>
  <si>
    <t>The system should correct the text and return a properly formatted output.</t>
  </si>
  <si>
    <t>- Tăng độ tuổi được quỹ BHYT chi trả chi phí điều trị lác, cận thị và tật khúc xạ mắt từ 6 tuổi đến dưới 18 tuổi.</t>
  </si>
  <si>
    <t>Prediction Stability</t>
  </si>
  <si>
    <t>The application is running, and the model is loaded.</t>
  </si>
  <si>
    <t>1. Input a text that is completely corrupted (e.g., mismatched prediction).
2. Run the correction function.
3. Observe the output.</t>
  </si>
  <si>
    <t>(Ban hành kèm theo thông tư số 01/2025/TT-BKHĐT ngày 02 tháng 01 năm 2025 của Bộ trưởng Bộ Kế hoạch và Đầu tư)</t>
  </si>
  <si>
    <t>The system should return a corrected text output.
The output should not be empty or cause system crash.</t>
  </si>
  <si>
    <t>The output text is semantically unrelated to the input.</t>
  </si>
  <si>
    <t>Major</t>
  </si>
  <si>
    <t>Model prediction quality issue.
[EVD-02] (Incorrect Output Screenshot)</t>
  </si>
  <si>
    <t>Model Performance</t>
  </si>
  <si>
    <t>Evaluation Metrics</t>
  </si>
  <si>
    <t xml:space="preserve">SCN-PERF-01    </t>
  </si>
  <si>
    <t>The model has been trained and is ready for evaluation.</t>
  </si>
  <si>
    <t>1. Run the model on a validation dataset containing 100 sentences with predefined errors.
2. Collect the results for Precision, Recall, and F1-Score.
3. Analyze the performance metrics.</t>
  </si>
  <si>
    <t xml:space="preserve">Validation dataset with 100 predefined sentences.
</t>
  </si>
  <si>
    <t>The model evaluation metrics should meet the predefined acceptance criteria:
- Detection F1-score ≥ 85%
- Correction F1-score ≥ 85%
- No runtime errors during evaluation</t>
  </si>
  <si>
    <t>- Detection Precision: 92.50%
- Detection Recall: 90.81%
- Detection F1: 91.37%
- Correction Precision: 90.27%
- Correction Recall: 88.38%
- Correction F1: 89.05%</t>
  </si>
  <si>
    <t>[EVD-03] (Training results showing model metrics)</t>
  </si>
  <si>
    <t>Input Field Validation</t>
  </si>
  <si>
    <t>The user interface is loaded and ready for input.</t>
  </si>
  <si>
    <t>1. Leave input field empty.
2. Click "Correct".
3. Observe system response.</t>
  </si>
  <si>
    <t>(empty input)</t>
  </si>
  <si>
    <t>System displays message: "Please enter text to be corrected."</t>
  </si>
  <si>
    <t>Please enter text to be corrected.</t>
  </si>
  <si>
    <t>Input Validation</t>
  </si>
  <si>
    <t>1. Enter text containing special characters:
   test &lt;script&gt;alert('xss')&lt;/script&gt;
2. Run correction function.
3. Observe output.</t>
  </si>
  <si>
    <t>test &lt;script&gt;alert('xss')&lt;/script&gt;</t>
  </si>
  <si>
    <t>The system processes the text safely.
No script execution occurs.
The output is treated as plain text.</t>
  </si>
  <si>
    <t>The system processed the input as plain text.
No script execution occurred.
The output was returned safely without executing any code.</t>
  </si>
  <si>
    <t>Project 2 — Test Execution Report (Smoke + Key Flows)</t>
  </si>
  <si>
    <t>BUG-001</t>
  </si>
  <si>
    <t>[EVD-02] (Incorrect Output Screenshot)</t>
  </si>
  <si>
    <t>Input Validation (Special Char)</t>
  </si>
  <si>
    <t>Project 2 — Bug Report Log</t>
  </si>
  <si>
    <t>Assignee</t>
  </si>
  <si>
    <t>Retest Result</t>
  </si>
  <si>
    <t>Incorrect model prediction for corrupted text</t>
  </si>
  <si>
    <t>Windows 10, Google Colab</t>
  </si>
  <si>
    <t>1. Input a corrupted text (e.g., mismatched prediction). 
2. Run the correction function. 
3. Observe the output.</t>
  </si>
  <si>
    <t>The system should generate a corrected output that is semantically consistent with the input text.
The output should not significantly diverge in meaning.</t>
  </si>
  <si>
    <t>The model generated an output that is semantically unrelated to the input text.
The prediction significantly diverged from the expected correction.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</si>
</sst>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numFmt numFmtId="166" formatCode="&quot;Ngày &quot;dd &quot;tháng &quot;mm &quot;năm &quot;yyyy."/>
  </numFmts>
  <fonts count="11">
    <font>
      <sz val="11.0"/>
      <color theme="1"/>
      <name val="Calibri"/>
      <scheme val="minor"/>
    </font>
    <font>
      <b/>
      <sz val="16.0"/>
      <color rgb="FF1F4E78"/>
      <name val="Calibri"/>
    </font>
    <font>
      <b/>
      <sz val="11.0"/>
      <color rgb="FF000000"/>
      <name val="Calibri"/>
    </font>
    <font>
      <sz val="11.0"/>
      <color theme="1"/>
      <name val="Calibri"/>
    </font>
    <font>
      <b/>
      <sz val="11.0"/>
      <color rgb="FFFFFFFF"/>
      <name val="Calibri"/>
    </font>
    <font>
      <b/>
      <sz val="10.0"/>
      <color rgb="FF1F4E78"/>
      <name val="Calibri"/>
    </font>
    <font>
      <sz val="10.0"/>
      <color rgb="FF000000"/>
      <name val="Calibri"/>
    </font>
    <font>
      <color theme="1"/>
      <name val="Calibri"/>
      <scheme val="minor"/>
    </font>
    <font>
      <b/>
      <sz val="11.0"/>
      <color rgb="FF1F4E78"/>
      <name val="Calibri"/>
    </font>
    <font>
      <sz val="11.0"/>
      <color rgb="FF000000"/>
      <name val="Calibri"/>
    </font>
    <font>
      <u/>
      <sz val="11.0"/>
      <color rgb="FF0000FF"/>
      <name val="Calibri"/>
    </font>
  </fonts>
  <fills count="7">
    <fill>
      <patternFill patternType="none"/>
    </fill>
    <fill>
      <patternFill patternType="lightGray"/>
    </fill>
    <fill>
      <patternFill patternType="solid">
        <fgColor rgb="FFD9EAF7"/>
        <bgColor rgb="FFD9EAF7"/>
      </patternFill>
    </fill>
    <fill>
      <patternFill patternType="solid">
        <fgColor rgb="FF1F4E78"/>
        <bgColor rgb="FF1F4E78"/>
      </patternFill>
    </fill>
    <fill>
      <patternFill patternType="solid">
        <fgColor rgb="FFF3F8FC"/>
        <bgColor rgb="FFF3F8FC"/>
      </patternFill>
    </fill>
    <fill>
      <patternFill patternType="solid">
        <fgColor rgb="FFE2F0D9"/>
        <bgColor rgb="FFE2F0D9"/>
      </patternFill>
    </fill>
    <fill>
      <patternFill patternType="solid">
        <fgColor rgb="FF1F4E79"/>
        <bgColor rgb="FF1F4E79"/>
      </patternFill>
    </fill>
  </fills>
  <borders count="6">
    <border/>
    <border>
      <left/>
      <right/>
      <top/>
      <bottom/>
    </border>
    <border>
      <left/>
      <right/>
      <top style="medium">
        <color rgb="FF1F4E78"/>
      </top>
      <bottom style="medium">
        <color rgb="FF1F4E78"/>
      </bottom>
    </border>
    <border>
      <left/>
      <right/>
      <top/>
      <bottom style="thin">
        <color rgb="FFD9D9D9"/>
      </bottom>
    </border>
    <border>
      <bottom style="thin">
        <color rgb="FFD9D9D9"/>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3" numFmtId="0" xfId="0" applyAlignment="1" applyFont="1">
      <alignment shrinkToFit="0" vertical="top" wrapText="1"/>
    </xf>
    <xf borderId="2" fillId="3" fontId="4" numFmtId="0" xfId="0" applyAlignment="1" applyBorder="1" applyFill="1" applyFont="1">
      <alignment horizontal="center" shrinkToFit="0" vertical="center" wrapText="1"/>
    </xf>
    <xf borderId="3" fillId="4" fontId="5" numFmtId="0" xfId="0" applyAlignment="1" applyBorder="1" applyFill="1" applyFont="1">
      <alignment horizontal="center" shrinkToFit="0" vertical="center" wrapText="1"/>
    </xf>
    <xf borderId="4" fillId="0" fontId="6" numFmtId="0" xfId="0" applyAlignment="1" applyBorder="1" applyFont="1">
      <alignment horizontal="center" shrinkToFit="0" vertical="top" wrapText="1"/>
    </xf>
    <xf borderId="4" fillId="0" fontId="6" numFmtId="0" xfId="0" applyAlignment="1" applyBorder="1" applyFont="1">
      <alignment horizontal="center" readingOrder="0" shrinkToFit="0" vertical="top" wrapText="1"/>
    </xf>
    <xf borderId="4" fillId="0" fontId="6" numFmtId="1" xfId="0" applyAlignment="1" applyBorder="1" applyFont="1" applyNumberFormat="1">
      <alignment horizontal="center" readingOrder="0" shrinkToFit="0" vertical="top" wrapText="1"/>
    </xf>
    <xf borderId="4" fillId="0" fontId="6" numFmtId="1" xfId="0" applyAlignment="1" applyBorder="1" applyFont="1" applyNumberFormat="1">
      <alignment horizontal="center" shrinkToFit="0" vertical="top" wrapText="1"/>
    </xf>
    <xf borderId="3" fillId="5" fontId="6" numFmtId="0" xfId="0" applyAlignment="1" applyBorder="1" applyFill="1" applyFont="1">
      <alignment horizontal="center" readingOrder="0" shrinkToFit="0" vertical="top" wrapText="1"/>
    </xf>
    <xf borderId="0" fillId="0" fontId="3" numFmtId="0" xfId="0" applyAlignment="1" applyFont="1">
      <alignment horizontal="center" vertical="center"/>
    </xf>
    <xf borderId="0" fillId="0" fontId="3" numFmtId="0" xfId="0" applyAlignment="1" applyFont="1">
      <alignment readingOrder="0" shrinkToFit="0" wrapText="1"/>
    </xf>
    <xf borderId="0" fillId="0" fontId="3" numFmtId="0" xfId="0" applyAlignment="1" applyFont="1">
      <alignment horizontal="center" readingOrder="0" vertical="center"/>
    </xf>
    <xf borderId="0" fillId="0" fontId="1" numFmtId="0" xfId="0" applyAlignment="1" applyFont="1">
      <alignment shrinkToFit="0" wrapText="1"/>
    </xf>
    <xf borderId="0" fillId="0" fontId="3" numFmtId="0" xfId="0" applyAlignment="1" applyFont="1">
      <alignment shrinkToFit="0" wrapText="1"/>
    </xf>
    <xf borderId="0" fillId="0" fontId="7" numFmtId="0" xfId="0" applyAlignment="1" applyFont="1">
      <alignment shrinkToFit="0" wrapText="1"/>
    </xf>
    <xf borderId="1" fillId="4" fontId="8" numFmtId="0" xfId="0" applyAlignment="1" applyBorder="1" applyFont="1">
      <alignment horizontal="center" shrinkToFit="0" vertical="center" wrapText="1"/>
    </xf>
    <xf borderId="0" fillId="0" fontId="9" numFmtId="0" xfId="0" applyAlignment="1" applyFont="1">
      <alignment shrinkToFit="0" vertical="center" wrapText="1"/>
    </xf>
    <xf borderId="0" fillId="0" fontId="9" numFmtId="0" xfId="0" applyAlignment="1" applyFont="1">
      <alignment readingOrder="0" shrinkToFit="0" vertical="center" wrapText="1"/>
    </xf>
    <xf borderId="0" fillId="0" fontId="10" numFmtId="0" xfId="0" applyAlignment="1" applyFont="1">
      <alignment readingOrder="0" shrinkToFit="0" vertical="center" wrapText="1"/>
    </xf>
    <xf borderId="0" fillId="0" fontId="3" numFmtId="0" xfId="0" applyAlignment="1" applyFont="1">
      <alignment shrinkToFit="0" vertical="center" wrapText="1"/>
    </xf>
    <xf borderId="4" fillId="0" fontId="6" numFmtId="164" xfId="0" applyAlignment="1" applyBorder="1" applyFont="1" applyNumberFormat="1">
      <alignment horizontal="center" shrinkToFit="0" vertical="top" wrapText="1"/>
    </xf>
    <xf borderId="4" fillId="0" fontId="6" numFmtId="0" xfId="0" applyAlignment="1" applyBorder="1" applyFont="1">
      <alignment shrinkToFit="0" vertical="top" wrapText="1"/>
    </xf>
    <xf borderId="4" fillId="0" fontId="6" numFmtId="0" xfId="0" applyAlignment="1" applyBorder="1" applyFont="1">
      <alignment readingOrder="0" shrinkToFit="0" vertical="top" wrapText="1"/>
    </xf>
    <xf borderId="0" fillId="0" fontId="7" numFmtId="0" xfId="0" applyAlignment="1" applyFont="1">
      <alignment horizontal="center"/>
    </xf>
    <xf borderId="0" fillId="0" fontId="7" numFmtId="0" xfId="0" applyAlignment="1" applyFont="1">
      <alignment horizontal="center" readingOrder="0" shrinkToFit="0" vertical="top" wrapText="1"/>
    </xf>
    <xf borderId="0" fillId="0" fontId="7" numFmtId="0" xfId="0" applyAlignment="1" applyFont="1">
      <alignment readingOrder="0" shrinkToFit="0" vertical="top" wrapText="1"/>
    </xf>
    <xf borderId="0" fillId="0" fontId="7" numFmtId="0" xfId="0" applyAlignment="1" applyFont="1">
      <alignment horizontal="center" readingOrder="0" shrinkToFit="0" vertical="center" wrapText="1"/>
    </xf>
    <xf borderId="0" fillId="0" fontId="7" numFmtId="0" xfId="0" applyAlignment="1" applyFont="1">
      <alignment readingOrder="0" shrinkToFit="0" vertical="center" wrapText="1"/>
    </xf>
    <xf borderId="0" fillId="0" fontId="7" numFmtId="0" xfId="0" applyAlignment="1" applyFont="1">
      <alignment horizontal="left" readingOrder="0" shrinkToFit="0" vertical="top" wrapText="1"/>
    </xf>
    <xf borderId="0" fillId="0" fontId="7" numFmtId="0" xfId="0" applyAlignment="1" applyFont="1">
      <alignment horizontal="left" readingOrder="0" shrinkToFit="0" vertical="center" wrapText="1"/>
    </xf>
    <xf borderId="0" fillId="0" fontId="7" numFmtId="0" xfId="0" applyAlignment="1" applyFont="1">
      <alignment horizontal="left" shrinkToFit="0" vertical="top" wrapText="1"/>
    </xf>
    <xf borderId="0" fillId="0" fontId="7" numFmtId="0" xfId="0" applyAlignment="1" applyFont="1">
      <alignment horizontal="left" shrinkToFit="0" vertical="center" wrapText="1"/>
    </xf>
    <xf borderId="2" fillId="3" fontId="4" numFmtId="0" xfId="0" applyAlignment="1" applyBorder="1" applyFont="1">
      <alignment horizontal="center" readingOrder="0" shrinkToFit="0" vertical="center" wrapText="1"/>
    </xf>
    <xf borderId="0" fillId="0" fontId="7" numFmtId="0" xfId="0" applyAlignment="1" applyFont="1">
      <alignment readingOrder="0"/>
    </xf>
    <xf borderId="0" fillId="0" fontId="7" numFmtId="0" xfId="0" applyAlignment="1" applyFont="1">
      <alignment readingOrder="0" vertical="bottom"/>
    </xf>
    <xf borderId="0" fillId="0" fontId="3" numFmtId="0" xfId="0" applyAlignment="1" applyFont="1">
      <alignment readingOrder="0" vertical="bottom"/>
    </xf>
    <xf borderId="0" fillId="0" fontId="3" numFmtId="0" xfId="0" applyAlignment="1" applyFont="1">
      <alignment vertical="bottom"/>
    </xf>
    <xf borderId="0" fillId="0" fontId="3" numFmtId="0" xfId="0" applyAlignment="1" applyFont="1">
      <alignment vertical="bottom"/>
    </xf>
    <xf borderId="0" fillId="0" fontId="1" numFmtId="0" xfId="0" applyAlignment="1" applyFont="1">
      <alignment readingOrder="0"/>
    </xf>
    <xf borderId="0" fillId="0" fontId="7" numFmtId="0" xfId="0" applyAlignment="1" applyFont="1">
      <alignment horizontal="center" readingOrder="0"/>
    </xf>
    <xf borderId="5" fillId="6" fontId="4" numFmtId="0" xfId="0" applyAlignment="1" applyBorder="1" applyFill="1" applyFont="1">
      <alignment horizontal="center" shrinkToFit="0" vertical="center" wrapText="1"/>
    </xf>
    <xf borderId="0" fillId="0" fontId="7" numFmtId="0" xfId="0" applyFont="1"/>
    <xf borderId="0" fillId="0" fontId="7" numFmtId="0" xfId="0" applyFont="1"/>
    <xf borderId="0" fillId="0" fontId="7" numFmtId="165" xfId="0" applyAlignment="1" applyFont="1" applyNumberFormat="1">
      <alignment readingOrder="0"/>
    </xf>
    <xf borderId="0" fillId="0" fontId="1" numFmtId="0" xfId="0" applyAlignment="1" applyFont="1">
      <alignment readingOrder="0" shrinkToFit="0" wrapText="1"/>
    </xf>
    <xf borderId="4" fillId="0" fontId="6" numFmtId="164" xfId="0" applyAlignment="1" applyBorder="1" applyFont="1" applyNumberFormat="1">
      <alignment horizontal="center" readingOrder="0" shrinkToFit="0" vertical="top" wrapText="1"/>
    </xf>
    <xf borderId="4" fillId="0" fontId="6" numFmtId="0" xfId="0" applyAlignment="1" applyBorder="1" applyFont="1">
      <alignment horizontal="center" shrinkToFit="0" vertical="center" wrapText="1"/>
    </xf>
    <xf borderId="4" fillId="0" fontId="6" numFmtId="164" xfId="0" applyAlignment="1" applyBorder="1" applyFont="1" applyNumberFormat="1">
      <alignment horizontal="center" readingOrder="0" shrinkToFit="0" vertical="center" wrapText="1"/>
    </xf>
    <xf borderId="0" fillId="0" fontId="7" numFmtId="0" xfId="0" applyAlignment="1" applyFont="1">
      <alignment horizontal="center" readingOrder="0" vertical="bottom"/>
    </xf>
    <xf borderId="0" fillId="0" fontId="7" numFmtId="166" xfId="0" applyAlignment="1" applyFont="1" applyNumberFormat="1">
      <alignment horizontal="left" readingOrder="0"/>
    </xf>
    <xf borderId="0" fillId="0" fontId="7" numFmtId="0" xfId="0" applyAlignment="1" applyFont="1">
      <alignment readingOrder="0"/>
    </xf>
    <xf borderId="0" fillId="0" fontId="7"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github.com/KGREEN2608/sport-store-management" TargetMode="External"/><Relationship Id="rId2" Type="http://schemas.openxmlformats.org/officeDocument/2006/relationships/hyperlink" Target="https://drive.google.com/file/d/1VhXXU3efGVw3oDuG4eF_Z4CxP-HdffYV/view?usp=sharing"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github.com/KGREEN2608/spelling-correction-model" TargetMode="External"/><Relationship Id="rId2" Type="http://schemas.openxmlformats.org/officeDocument/2006/relationships/hyperlink" Target="https://drive.google.com/file/d/1_nGZ6x6phIt7Fj39cz5I58ShWuZ1aqi3/view?usp=sharing"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71"/>
    <col customWidth="1" min="2" max="3" width="18.0"/>
    <col customWidth="1" min="4" max="4" width="46.0"/>
  </cols>
  <sheetData>
    <row r="1" ht="14.25" customHeight="1">
      <c r="A1" s="1" t="s">
        <v>0</v>
      </c>
    </row>
    <row r="2" ht="14.25" customHeight="1"/>
    <row r="3" ht="14.25" customHeight="1">
      <c r="A3" s="2" t="s">
        <v>1</v>
      </c>
      <c r="B3" s="3"/>
      <c r="C3" s="3"/>
      <c r="D3" s="3"/>
    </row>
    <row r="4" ht="14.25" customHeight="1">
      <c r="A4" s="4" t="s">
        <v>2</v>
      </c>
      <c r="B4" s="4" t="s">
        <v>3</v>
      </c>
      <c r="C4" s="4" t="s">
        <v>4</v>
      </c>
      <c r="D4" s="4" t="s">
        <v>5</v>
      </c>
    </row>
    <row r="5" ht="14.25" customHeight="1">
      <c r="A5" s="5" t="s">
        <v>6</v>
      </c>
      <c r="B5" s="6" t="s">
        <v>7</v>
      </c>
      <c r="C5" s="7" t="s">
        <v>8</v>
      </c>
      <c r="D5" s="7" t="s">
        <v>9</v>
      </c>
    </row>
    <row r="6" ht="14.25" customHeight="1">
      <c r="A6" s="5" t="s">
        <v>10</v>
      </c>
      <c r="B6" s="7">
        <v>42.0</v>
      </c>
      <c r="C6" s="7">
        <v>7.0</v>
      </c>
      <c r="D6" s="8">
        <v>49.0</v>
      </c>
    </row>
    <row r="7" ht="14.25" customHeight="1">
      <c r="A7" s="5" t="s">
        <v>11</v>
      </c>
      <c r="B7" s="7">
        <v>40.0</v>
      </c>
      <c r="C7" s="7">
        <v>6.0</v>
      </c>
      <c r="D7" s="8">
        <v>46.0</v>
      </c>
    </row>
    <row r="8" ht="14.25" customHeight="1">
      <c r="A8" s="5" t="s">
        <v>12</v>
      </c>
      <c r="B8" s="6">
        <f>COUNTIF(P1_Test_Cases!J:J,"Fail")</f>
        <v>2</v>
      </c>
      <c r="C8" s="7">
        <v>1.0</v>
      </c>
      <c r="D8" s="9">
        <f t="shared" ref="D8:D9" si="1">B8+C8</f>
        <v>3</v>
      </c>
    </row>
    <row r="9" ht="14.25" customHeight="1">
      <c r="A9" s="5" t="s">
        <v>13</v>
      </c>
      <c r="B9" s="6">
        <f>COUNTIF(P1_Test_Cases!J:J,"Blocked")</f>
        <v>0</v>
      </c>
      <c r="C9" s="6">
        <v>0.0</v>
      </c>
      <c r="D9" s="9">
        <f t="shared" si="1"/>
        <v>0</v>
      </c>
    </row>
    <row r="10" ht="14.25" customHeight="1">
      <c r="A10" s="5" t="s">
        <v>14</v>
      </c>
      <c r="B10" s="10" t="s">
        <v>15</v>
      </c>
      <c r="C10" s="10" t="s">
        <v>16</v>
      </c>
      <c r="D10" s="10" t="s">
        <v>17</v>
      </c>
    </row>
    <row r="11" ht="14.25" customHeight="1">
      <c r="A11" s="5" t="s">
        <v>18</v>
      </c>
      <c r="B11" s="6">
        <f>B12+B13</f>
        <v>2</v>
      </c>
      <c r="C11" s="7">
        <v>1.0</v>
      </c>
      <c r="D11" s="9">
        <f t="shared" ref="D11:D13" si="2">B11+C11</f>
        <v>3</v>
      </c>
    </row>
    <row r="12" ht="14.25" customHeight="1">
      <c r="A12" s="5" t="s">
        <v>19</v>
      </c>
      <c r="B12" s="6">
        <f>COUNTIF(P1_Bug_Report!J:J,"Open")+COUNTIF(P1_Bug_Report!J:J,"In Progress")</f>
        <v>2</v>
      </c>
      <c r="C12" s="7">
        <v>1.0</v>
      </c>
      <c r="D12" s="9">
        <f t="shared" si="2"/>
        <v>3</v>
      </c>
    </row>
    <row r="13" ht="14.25" customHeight="1">
      <c r="A13" s="5" t="s">
        <v>20</v>
      </c>
      <c r="B13" s="6">
        <f>COUNTIF(P1_Bug_Report!J:J,"Closed")+COUNTIF(P1_Bug_Report!J:J,"Verified")</f>
        <v>0</v>
      </c>
      <c r="C13" s="6">
        <v>0.0</v>
      </c>
      <c r="D13" s="9">
        <f t="shared" si="2"/>
        <v>0</v>
      </c>
    </row>
    <row r="14" ht="14.25" customHeight="1">
      <c r="A14" s="3"/>
      <c r="B14" s="3"/>
      <c r="C14" s="3"/>
      <c r="D14" s="3"/>
    </row>
    <row r="15" ht="14.25" customHeight="1">
      <c r="A15" s="3"/>
      <c r="B15" s="3"/>
      <c r="C15" s="3"/>
      <c r="D15" s="3"/>
    </row>
    <row r="16" ht="14.25" customHeight="1">
      <c r="A16" s="2" t="s">
        <v>21</v>
      </c>
      <c r="B16" s="3"/>
      <c r="C16" s="3"/>
      <c r="D16" s="3"/>
    </row>
    <row r="17" ht="14.25" customHeight="1">
      <c r="A17" s="11">
        <v>1.0</v>
      </c>
      <c r="B17" s="12" t="s">
        <v>22</v>
      </c>
    </row>
    <row r="18" ht="14.25" customHeight="1">
      <c r="A18" s="11">
        <v>2.0</v>
      </c>
      <c r="B18" s="12" t="s">
        <v>23</v>
      </c>
    </row>
    <row r="19" ht="14.25" customHeight="1">
      <c r="A19" s="11">
        <v>3.0</v>
      </c>
      <c r="B19" s="12" t="s">
        <v>24</v>
      </c>
    </row>
    <row r="20" ht="14.25" customHeight="1">
      <c r="A20" s="13">
        <v>4.0</v>
      </c>
      <c r="B20" s="12" t="s">
        <v>25</v>
      </c>
    </row>
  </sheetData>
  <mergeCells count="4">
    <mergeCell ref="B17:D17"/>
    <mergeCell ref="B18:D18"/>
    <mergeCell ref="B19:D19"/>
    <mergeCell ref="B20:D20"/>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57"/>
    <col customWidth="1" min="2" max="2" width="24.0"/>
    <col customWidth="1" min="3" max="4" width="14.0"/>
    <col customWidth="1" min="5" max="5" width="12.0"/>
    <col customWidth="1" min="6" max="6" width="22.0"/>
  </cols>
  <sheetData>
    <row r="1" ht="14.25" customHeight="1">
      <c r="A1" s="14" t="s">
        <v>26</v>
      </c>
      <c r="B1" s="15"/>
      <c r="C1" s="16"/>
      <c r="D1" s="16"/>
      <c r="E1" s="16"/>
      <c r="F1" s="16"/>
    </row>
    <row r="2" ht="14.25" customHeight="1">
      <c r="A2" s="16"/>
      <c r="B2" s="15"/>
      <c r="C2" s="16"/>
      <c r="D2" s="16"/>
      <c r="E2" s="16"/>
      <c r="F2" s="16"/>
    </row>
    <row r="3" ht="27.75" customHeight="1">
      <c r="A3" s="17" t="s">
        <v>27</v>
      </c>
      <c r="B3" s="18" t="s">
        <v>28</v>
      </c>
    </row>
    <row r="4" ht="27.75" customHeight="1">
      <c r="A4" s="17" t="s">
        <v>29</v>
      </c>
      <c r="B4" s="19" t="s">
        <v>30</v>
      </c>
    </row>
    <row r="5" ht="27.75" customHeight="1">
      <c r="A5" s="17" t="s">
        <v>31</v>
      </c>
      <c r="B5" s="19" t="s">
        <v>32</v>
      </c>
    </row>
    <row r="6">
      <c r="A6" s="17" t="s">
        <v>33</v>
      </c>
      <c r="B6" s="19" t="s">
        <v>34</v>
      </c>
    </row>
    <row r="7">
      <c r="A7" s="17" t="s">
        <v>35</v>
      </c>
      <c r="B7" s="19" t="s">
        <v>36</v>
      </c>
    </row>
    <row r="8">
      <c r="A8" s="17" t="s">
        <v>37</v>
      </c>
      <c r="B8" s="19" t="s">
        <v>38</v>
      </c>
    </row>
    <row r="9">
      <c r="A9" s="17" t="s">
        <v>39</v>
      </c>
      <c r="B9" s="19" t="s">
        <v>40</v>
      </c>
    </row>
    <row r="10">
      <c r="A10" s="17" t="s">
        <v>41</v>
      </c>
      <c r="B10" s="19" t="s">
        <v>42</v>
      </c>
    </row>
    <row r="11">
      <c r="A11" s="17" t="s">
        <v>43</v>
      </c>
      <c r="B11" s="19" t="s">
        <v>44</v>
      </c>
    </row>
    <row r="12">
      <c r="A12" s="17" t="s">
        <v>45</v>
      </c>
      <c r="B12" s="19" t="s">
        <v>46</v>
      </c>
    </row>
    <row r="13">
      <c r="A13" s="17" t="s">
        <v>47</v>
      </c>
      <c r="B13" s="19" t="s">
        <v>48</v>
      </c>
    </row>
    <row r="14">
      <c r="A14" s="17" t="s">
        <v>49</v>
      </c>
      <c r="B14" s="19" t="s">
        <v>50</v>
      </c>
    </row>
    <row r="15">
      <c r="A15" s="17" t="s">
        <v>51</v>
      </c>
      <c r="B15" s="19" t="s">
        <v>52</v>
      </c>
    </row>
    <row r="16" ht="27.75" customHeight="1">
      <c r="A16" s="17" t="s">
        <v>53</v>
      </c>
      <c r="B16" s="20" t="s">
        <v>54</v>
      </c>
    </row>
    <row r="17" ht="27.75" customHeight="1">
      <c r="A17" s="17" t="s">
        <v>55</v>
      </c>
      <c r="B17" s="20" t="s">
        <v>56</v>
      </c>
    </row>
    <row r="18" ht="14.25" customHeight="1">
      <c r="A18" s="21"/>
      <c r="B18" s="21"/>
      <c r="C18" s="21"/>
      <c r="D18" s="21"/>
      <c r="E18" s="21"/>
      <c r="F18" s="21"/>
    </row>
    <row r="19" ht="14.25" customHeight="1">
      <c r="A19" s="4" t="s">
        <v>57</v>
      </c>
      <c r="B19" s="4" t="s">
        <v>58</v>
      </c>
      <c r="C19" s="4" t="s">
        <v>59</v>
      </c>
      <c r="D19" s="4" t="s">
        <v>60</v>
      </c>
      <c r="E19" s="4" t="s">
        <v>61</v>
      </c>
      <c r="F19" s="4" t="s">
        <v>62</v>
      </c>
    </row>
    <row r="20" ht="14.25" customHeight="1">
      <c r="A20" s="6" t="s">
        <v>63</v>
      </c>
      <c r="B20" s="6" t="s">
        <v>64</v>
      </c>
      <c r="C20" s="22">
        <v>44987.0</v>
      </c>
      <c r="D20" s="22">
        <v>44987.0</v>
      </c>
      <c r="E20" s="6" t="s">
        <v>65</v>
      </c>
      <c r="F20" s="23" t="s">
        <v>66</v>
      </c>
    </row>
    <row r="21" ht="14.25" customHeight="1">
      <c r="A21" s="6" t="s">
        <v>67</v>
      </c>
      <c r="B21" s="6" t="s">
        <v>64</v>
      </c>
      <c r="C21" s="22">
        <v>44987.0</v>
      </c>
      <c r="D21" s="22">
        <v>44987.0</v>
      </c>
      <c r="E21" s="6" t="s">
        <v>65</v>
      </c>
      <c r="F21" s="24" t="s">
        <v>68</v>
      </c>
    </row>
    <row r="22" ht="14.25" customHeight="1">
      <c r="A22" s="6" t="s">
        <v>69</v>
      </c>
      <c r="B22" s="6" t="s">
        <v>64</v>
      </c>
      <c r="C22" s="22">
        <v>44989.0</v>
      </c>
      <c r="D22" s="22">
        <v>44989.0</v>
      </c>
      <c r="E22" s="6" t="s">
        <v>65</v>
      </c>
      <c r="F22" s="24" t="s">
        <v>70</v>
      </c>
    </row>
    <row r="23" ht="14.25" customHeight="1">
      <c r="A23" s="6" t="s">
        <v>71</v>
      </c>
      <c r="B23" s="6" t="s">
        <v>64</v>
      </c>
      <c r="C23" s="22">
        <v>44990.0</v>
      </c>
      <c r="D23" s="22">
        <v>44990.0</v>
      </c>
      <c r="E23" s="6" t="s">
        <v>65</v>
      </c>
      <c r="F23" s="24" t="s">
        <v>72</v>
      </c>
    </row>
    <row r="24" ht="14.25" customHeight="1">
      <c r="A24" s="6" t="s">
        <v>73</v>
      </c>
      <c r="B24" s="6" t="s">
        <v>64</v>
      </c>
      <c r="C24" s="22">
        <v>44994.0</v>
      </c>
      <c r="D24" s="22">
        <v>44994.0</v>
      </c>
      <c r="E24" s="6" t="s">
        <v>65</v>
      </c>
      <c r="F24" s="24" t="s">
        <v>74</v>
      </c>
    </row>
  </sheetData>
  <mergeCells count="15">
    <mergeCell ref="B10:F10"/>
    <mergeCell ref="B11:F11"/>
    <mergeCell ref="B12:F12"/>
    <mergeCell ref="B13:F13"/>
    <mergeCell ref="B14:F14"/>
    <mergeCell ref="B15:F15"/>
    <mergeCell ref="B16:F16"/>
    <mergeCell ref="B17:F17"/>
    <mergeCell ref="B3:F3"/>
    <mergeCell ref="B4:F4"/>
    <mergeCell ref="B5:F5"/>
    <mergeCell ref="B6:F6"/>
    <mergeCell ref="B7:F7"/>
    <mergeCell ref="B8:F8"/>
    <mergeCell ref="B9:F9"/>
  </mergeCells>
  <dataValidations>
    <dataValidation type="list" allowBlank="1" sqref="E20:E24">
      <formula1>"Planned,In Progress,Done"</formula1>
    </dataValidation>
  </dataValidations>
  <hyperlinks>
    <hyperlink r:id="rId1" ref="B16"/>
    <hyperlink r:id="rId2" ref="B17"/>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29"/>
    <col customWidth="1" min="2" max="2" width="11.71"/>
    <col customWidth="1" min="3" max="3" width="129.57"/>
    <col customWidth="1" min="4" max="4" width="11.14"/>
    <col customWidth="1" min="5" max="5" width="65.43"/>
    <col customWidth="1" min="6" max="6" width="79.43"/>
    <col customWidth="1" min="7" max="7" width="17.86"/>
    <col customWidth="1" min="8" max="8" width="63.29"/>
  </cols>
  <sheetData>
    <row r="1" ht="14.25" customHeight="1">
      <c r="A1" s="1" t="s">
        <v>75</v>
      </c>
      <c r="B1" s="25"/>
    </row>
    <row r="2" ht="14.25" customHeight="1">
      <c r="B2" s="25"/>
    </row>
    <row r="3" ht="14.25" customHeight="1">
      <c r="A3" s="4" t="s">
        <v>76</v>
      </c>
      <c r="B3" s="4" t="s">
        <v>77</v>
      </c>
      <c r="C3" s="4" t="s">
        <v>78</v>
      </c>
      <c r="D3" s="4" t="s">
        <v>79</v>
      </c>
      <c r="E3" s="4" t="s">
        <v>80</v>
      </c>
      <c r="F3" s="4" t="s">
        <v>81</v>
      </c>
      <c r="G3" s="4" t="s">
        <v>82</v>
      </c>
      <c r="H3" s="4" t="s">
        <v>83</v>
      </c>
    </row>
    <row r="4" ht="14.25" customHeight="1">
      <c r="A4" s="26" t="s">
        <v>84</v>
      </c>
      <c r="B4" s="26" t="s">
        <v>85</v>
      </c>
      <c r="C4" s="27" t="s">
        <v>86</v>
      </c>
      <c r="D4" s="27" t="s">
        <v>87</v>
      </c>
      <c r="E4" s="27" t="s">
        <v>88</v>
      </c>
      <c r="F4" s="27" t="s">
        <v>89</v>
      </c>
      <c r="G4" s="27" t="s">
        <v>90</v>
      </c>
      <c r="H4" s="27" t="s">
        <v>91</v>
      </c>
    </row>
    <row r="5">
      <c r="A5" s="28" t="s">
        <v>92</v>
      </c>
      <c r="B5" s="28" t="s">
        <v>85</v>
      </c>
      <c r="C5" s="29" t="s">
        <v>93</v>
      </c>
      <c r="D5" s="29" t="s">
        <v>87</v>
      </c>
      <c r="E5" s="29" t="s">
        <v>94</v>
      </c>
      <c r="F5" s="29" t="s">
        <v>95</v>
      </c>
      <c r="G5" s="29" t="s">
        <v>90</v>
      </c>
      <c r="H5" s="29" t="s">
        <v>96</v>
      </c>
    </row>
    <row r="6">
      <c r="A6" s="28" t="s">
        <v>97</v>
      </c>
      <c r="B6" s="28" t="s">
        <v>85</v>
      </c>
      <c r="C6" s="29" t="s">
        <v>98</v>
      </c>
      <c r="D6" s="29" t="s">
        <v>87</v>
      </c>
      <c r="E6" s="29" t="s">
        <v>99</v>
      </c>
      <c r="F6" s="29" t="s">
        <v>100</v>
      </c>
      <c r="G6" s="29" t="s">
        <v>90</v>
      </c>
      <c r="H6" s="29" t="s">
        <v>101</v>
      </c>
    </row>
    <row r="7">
      <c r="A7" s="28" t="s">
        <v>102</v>
      </c>
      <c r="B7" s="28" t="s">
        <v>85</v>
      </c>
      <c r="C7" s="29" t="s">
        <v>103</v>
      </c>
      <c r="D7" s="29" t="s">
        <v>87</v>
      </c>
      <c r="E7" s="29" t="s">
        <v>104</v>
      </c>
      <c r="F7" s="29" t="s">
        <v>105</v>
      </c>
      <c r="G7" s="29" t="s">
        <v>90</v>
      </c>
      <c r="H7" s="29" t="s">
        <v>106</v>
      </c>
    </row>
    <row r="8">
      <c r="A8" s="26" t="s">
        <v>107</v>
      </c>
      <c r="B8" s="26" t="s">
        <v>85</v>
      </c>
      <c r="C8" s="30" t="s">
        <v>108</v>
      </c>
      <c r="D8" s="30" t="s">
        <v>109</v>
      </c>
      <c r="E8" s="30" t="s">
        <v>110</v>
      </c>
      <c r="F8" s="30" t="s">
        <v>111</v>
      </c>
      <c r="G8" s="30" t="s">
        <v>90</v>
      </c>
      <c r="H8" s="30" t="s">
        <v>112</v>
      </c>
    </row>
    <row r="9">
      <c r="A9" s="28" t="s">
        <v>113</v>
      </c>
      <c r="B9" s="28" t="s">
        <v>85</v>
      </c>
      <c r="C9" s="31" t="s">
        <v>114</v>
      </c>
      <c r="D9" s="31" t="s">
        <v>87</v>
      </c>
      <c r="E9" s="31" t="s">
        <v>115</v>
      </c>
      <c r="F9" s="31" t="s">
        <v>116</v>
      </c>
      <c r="G9" s="31" t="s">
        <v>90</v>
      </c>
      <c r="H9" s="31" t="s">
        <v>117</v>
      </c>
    </row>
    <row r="10">
      <c r="A10" s="26" t="s">
        <v>118</v>
      </c>
      <c r="B10" s="26" t="s">
        <v>119</v>
      </c>
      <c r="C10" s="30" t="s">
        <v>120</v>
      </c>
      <c r="D10" s="30" t="s">
        <v>87</v>
      </c>
      <c r="E10" s="30" t="s">
        <v>121</v>
      </c>
      <c r="F10" s="30" t="s">
        <v>122</v>
      </c>
      <c r="G10" s="30" t="s">
        <v>90</v>
      </c>
      <c r="H10" s="32"/>
    </row>
    <row r="11">
      <c r="A11" s="26" t="s">
        <v>123</v>
      </c>
      <c r="B11" s="26" t="s">
        <v>119</v>
      </c>
      <c r="C11" s="30" t="s">
        <v>124</v>
      </c>
      <c r="D11" s="30" t="s">
        <v>109</v>
      </c>
      <c r="E11" s="30" t="s">
        <v>125</v>
      </c>
      <c r="F11" s="30" t="s">
        <v>126</v>
      </c>
      <c r="G11" s="30" t="s">
        <v>90</v>
      </c>
      <c r="H11" s="32"/>
    </row>
    <row r="12">
      <c r="A12" s="26" t="s">
        <v>127</v>
      </c>
      <c r="B12" s="26" t="s">
        <v>119</v>
      </c>
      <c r="C12" s="30" t="s">
        <v>128</v>
      </c>
      <c r="D12" s="30" t="s">
        <v>87</v>
      </c>
      <c r="E12" s="30" t="s">
        <v>129</v>
      </c>
      <c r="F12" s="30" t="s">
        <v>130</v>
      </c>
      <c r="G12" s="30" t="s">
        <v>90</v>
      </c>
      <c r="H12" s="32"/>
    </row>
    <row r="13">
      <c r="A13" s="26" t="s">
        <v>131</v>
      </c>
      <c r="B13" s="26" t="s">
        <v>119</v>
      </c>
      <c r="C13" s="30" t="s">
        <v>132</v>
      </c>
      <c r="D13" s="30" t="s">
        <v>109</v>
      </c>
      <c r="E13" s="30" t="s">
        <v>133</v>
      </c>
      <c r="F13" s="30" t="s">
        <v>134</v>
      </c>
      <c r="G13" s="30" t="s">
        <v>90</v>
      </c>
      <c r="H13" s="32"/>
    </row>
    <row r="14">
      <c r="A14" s="26" t="s">
        <v>135</v>
      </c>
      <c r="B14" s="26" t="s">
        <v>119</v>
      </c>
      <c r="C14" s="30" t="s">
        <v>136</v>
      </c>
      <c r="D14" s="30" t="s">
        <v>87</v>
      </c>
      <c r="E14" s="30" t="s">
        <v>137</v>
      </c>
      <c r="F14" s="30" t="s">
        <v>138</v>
      </c>
      <c r="G14" s="30" t="s">
        <v>90</v>
      </c>
      <c r="H14" s="32"/>
    </row>
    <row r="15" ht="14.25" customHeight="1">
      <c r="A15" s="26" t="s">
        <v>139</v>
      </c>
      <c r="B15" s="26" t="s">
        <v>119</v>
      </c>
      <c r="C15" s="30" t="s">
        <v>140</v>
      </c>
      <c r="D15" s="30" t="s">
        <v>109</v>
      </c>
      <c r="E15" s="30" t="s">
        <v>141</v>
      </c>
      <c r="F15" s="30" t="s">
        <v>134</v>
      </c>
      <c r="G15" s="30" t="s">
        <v>90</v>
      </c>
      <c r="H15" s="32"/>
    </row>
    <row r="16" ht="14.25" customHeight="1">
      <c r="A16" s="26" t="s">
        <v>142</v>
      </c>
      <c r="B16" s="26" t="s">
        <v>119</v>
      </c>
      <c r="C16" s="30" t="s">
        <v>143</v>
      </c>
      <c r="D16" s="30" t="s">
        <v>87</v>
      </c>
      <c r="E16" s="30" t="s">
        <v>144</v>
      </c>
      <c r="F16" s="30" t="s">
        <v>134</v>
      </c>
      <c r="G16" s="30" t="s">
        <v>90</v>
      </c>
      <c r="H16" s="32"/>
    </row>
    <row r="17" ht="14.25" customHeight="1">
      <c r="A17" s="26" t="s">
        <v>145</v>
      </c>
      <c r="B17" s="26" t="s">
        <v>119</v>
      </c>
      <c r="C17" s="30" t="s">
        <v>146</v>
      </c>
      <c r="D17" s="30" t="s">
        <v>109</v>
      </c>
      <c r="E17" s="30" t="s">
        <v>147</v>
      </c>
      <c r="F17" s="30" t="s">
        <v>148</v>
      </c>
      <c r="G17" s="30" t="s">
        <v>90</v>
      </c>
      <c r="H17" s="32"/>
    </row>
    <row r="18" ht="14.25" customHeight="1">
      <c r="A18" s="28" t="s">
        <v>149</v>
      </c>
      <c r="B18" s="28" t="s">
        <v>119</v>
      </c>
      <c r="C18" s="31" t="s">
        <v>150</v>
      </c>
      <c r="D18" s="31" t="s">
        <v>87</v>
      </c>
      <c r="E18" s="31" t="s">
        <v>151</v>
      </c>
      <c r="F18" s="31" t="s">
        <v>148</v>
      </c>
      <c r="G18" s="31" t="s">
        <v>90</v>
      </c>
      <c r="H18" s="33"/>
    </row>
    <row r="19" ht="14.25" customHeight="1">
      <c r="A19" s="26" t="s">
        <v>152</v>
      </c>
      <c r="B19" s="26" t="s">
        <v>119</v>
      </c>
      <c r="C19" s="30" t="s">
        <v>153</v>
      </c>
      <c r="D19" s="30" t="s">
        <v>109</v>
      </c>
      <c r="E19" s="30" t="s">
        <v>154</v>
      </c>
      <c r="F19" s="30" t="s">
        <v>155</v>
      </c>
      <c r="G19" s="30" t="s">
        <v>90</v>
      </c>
      <c r="H19" s="32"/>
    </row>
    <row r="20" ht="14.25" customHeight="1">
      <c r="A20" s="28" t="s">
        <v>156</v>
      </c>
      <c r="B20" s="28" t="s">
        <v>119</v>
      </c>
      <c r="C20" s="31" t="s">
        <v>157</v>
      </c>
      <c r="D20" s="31" t="s">
        <v>87</v>
      </c>
      <c r="E20" s="31" t="s">
        <v>158</v>
      </c>
      <c r="F20" s="31" t="s">
        <v>159</v>
      </c>
      <c r="G20" s="31" t="s">
        <v>90</v>
      </c>
      <c r="H20" s="33"/>
    </row>
  </sheetData>
  <dataValidations>
    <dataValidation type="list" allowBlank="1" sqref="G4:G20">
      <formula1>"Covered,Partial,Gap,Not Applicable"</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6.0"/>
    <col customWidth="1" min="3" max="3" width="30.14"/>
    <col customWidth="1" min="4" max="4" width="12.0"/>
    <col customWidth="1" min="5" max="5" width="145.71"/>
    <col customWidth="1" min="6" max="6" width="91.86"/>
    <col customWidth="1" min="7" max="7" width="51.57"/>
    <col customWidth="1" min="8" max="8" width="106.57"/>
    <col customWidth="1" min="9" max="9" width="104.0"/>
    <col customWidth="1" min="10" max="10" width="7.29"/>
    <col customWidth="1" min="11" max="11" width="10.57"/>
    <col customWidth="1" min="12" max="12" width="7.57"/>
    <col customWidth="1" min="13" max="13" width="40.86"/>
  </cols>
  <sheetData>
    <row r="1">
      <c r="A1" s="1" t="s">
        <v>160</v>
      </c>
    </row>
    <row r="3">
      <c r="A3" s="34" t="s">
        <v>161</v>
      </c>
      <c r="B3" s="34" t="s">
        <v>77</v>
      </c>
      <c r="C3" s="34" t="s">
        <v>162</v>
      </c>
      <c r="D3" s="34" t="s">
        <v>80</v>
      </c>
      <c r="E3" s="34" t="s">
        <v>163</v>
      </c>
      <c r="F3" s="34" t="s">
        <v>164</v>
      </c>
      <c r="G3" s="34" t="s">
        <v>165</v>
      </c>
      <c r="H3" s="4" t="s">
        <v>166</v>
      </c>
      <c r="I3" s="4" t="s">
        <v>167</v>
      </c>
      <c r="J3" s="4" t="s">
        <v>61</v>
      </c>
      <c r="K3" s="34" t="s">
        <v>168</v>
      </c>
      <c r="L3" s="34" t="s">
        <v>79</v>
      </c>
      <c r="M3" s="34" t="s">
        <v>83</v>
      </c>
    </row>
    <row r="4">
      <c r="A4" s="35" t="s">
        <v>169</v>
      </c>
      <c r="B4" s="35" t="s">
        <v>170</v>
      </c>
      <c r="C4" s="35" t="s">
        <v>171</v>
      </c>
      <c r="D4" s="35" t="s">
        <v>172</v>
      </c>
      <c r="E4" s="35" t="s">
        <v>173</v>
      </c>
      <c r="F4" s="35" t="s">
        <v>174</v>
      </c>
      <c r="G4" s="35" t="s">
        <v>175</v>
      </c>
      <c r="H4" s="35" t="s">
        <v>176</v>
      </c>
      <c r="I4" s="35" t="s">
        <v>177</v>
      </c>
      <c r="J4" s="35" t="s">
        <v>178</v>
      </c>
      <c r="K4" s="35" t="s">
        <v>87</v>
      </c>
      <c r="L4" s="35" t="s">
        <v>87</v>
      </c>
      <c r="M4" s="35" t="s">
        <v>179</v>
      </c>
    </row>
    <row r="5">
      <c r="A5" s="35" t="s">
        <v>180</v>
      </c>
      <c r="B5" s="35" t="s">
        <v>170</v>
      </c>
      <c r="C5" s="35" t="s">
        <v>171</v>
      </c>
      <c r="D5" s="35" t="s">
        <v>181</v>
      </c>
      <c r="E5" s="35" t="s">
        <v>173</v>
      </c>
      <c r="F5" s="35" t="s">
        <v>182</v>
      </c>
      <c r="G5" s="35" t="s">
        <v>183</v>
      </c>
      <c r="H5" s="35" t="s">
        <v>184</v>
      </c>
      <c r="I5" s="35" t="s">
        <v>185</v>
      </c>
      <c r="J5" s="35" t="s">
        <v>178</v>
      </c>
      <c r="K5" s="35" t="s">
        <v>87</v>
      </c>
      <c r="L5" s="35" t="s">
        <v>87</v>
      </c>
      <c r="M5" s="35" t="s">
        <v>186</v>
      </c>
    </row>
    <row r="6">
      <c r="A6" s="35" t="s">
        <v>187</v>
      </c>
      <c r="B6" s="35" t="s">
        <v>170</v>
      </c>
      <c r="C6" s="35" t="s">
        <v>171</v>
      </c>
      <c r="D6" s="35" t="s">
        <v>188</v>
      </c>
      <c r="E6" s="35" t="s">
        <v>173</v>
      </c>
      <c r="F6" s="35" t="s">
        <v>189</v>
      </c>
      <c r="G6" s="35" t="s">
        <v>190</v>
      </c>
      <c r="H6" s="35" t="s">
        <v>191</v>
      </c>
      <c r="I6" s="35" t="s">
        <v>192</v>
      </c>
      <c r="J6" s="35" t="s">
        <v>178</v>
      </c>
      <c r="K6" s="35" t="s">
        <v>87</v>
      </c>
      <c r="L6" s="35" t="s">
        <v>87</v>
      </c>
      <c r="M6" s="35" t="s">
        <v>193</v>
      </c>
    </row>
    <row r="7">
      <c r="A7" s="35" t="s">
        <v>126</v>
      </c>
      <c r="B7" s="35" t="s">
        <v>170</v>
      </c>
      <c r="C7" s="35" t="s">
        <v>194</v>
      </c>
      <c r="D7" s="35" t="s">
        <v>195</v>
      </c>
      <c r="E7" s="35" t="s">
        <v>196</v>
      </c>
      <c r="F7" s="35" t="s">
        <v>197</v>
      </c>
      <c r="G7" s="35" t="s">
        <v>198</v>
      </c>
      <c r="H7" s="35" t="s">
        <v>199</v>
      </c>
      <c r="I7" s="35" t="s">
        <v>200</v>
      </c>
      <c r="J7" s="35" t="s">
        <v>178</v>
      </c>
      <c r="K7" s="35" t="s">
        <v>87</v>
      </c>
      <c r="L7" s="35" t="s">
        <v>87</v>
      </c>
      <c r="M7" s="35" t="s">
        <v>201</v>
      </c>
    </row>
    <row r="8">
      <c r="A8" s="35" t="s">
        <v>202</v>
      </c>
      <c r="B8" s="35" t="s">
        <v>203</v>
      </c>
      <c r="C8" s="35" t="s">
        <v>204</v>
      </c>
      <c r="D8" s="35" t="s">
        <v>205</v>
      </c>
      <c r="E8" s="35" t="s">
        <v>206</v>
      </c>
      <c r="F8" s="35" t="s">
        <v>207</v>
      </c>
      <c r="G8" s="35" t="s">
        <v>208</v>
      </c>
      <c r="H8" s="35" t="s">
        <v>209</v>
      </c>
      <c r="I8" s="35" t="s">
        <v>210</v>
      </c>
      <c r="J8" s="35" t="s">
        <v>178</v>
      </c>
      <c r="K8" s="35" t="s">
        <v>87</v>
      </c>
      <c r="L8" s="35" t="s">
        <v>87</v>
      </c>
      <c r="M8" s="35"/>
    </row>
    <row r="9">
      <c r="A9" s="35" t="s">
        <v>211</v>
      </c>
      <c r="B9" s="35" t="s">
        <v>203</v>
      </c>
      <c r="C9" s="35" t="s">
        <v>204</v>
      </c>
      <c r="D9" s="35" t="s">
        <v>212</v>
      </c>
      <c r="E9" s="35" t="s">
        <v>206</v>
      </c>
      <c r="F9" s="35" t="s">
        <v>213</v>
      </c>
      <c r="G9" s="35" t="s">
        <v>214</v>
      </c>
      <c r="H9" s="35" t="s">
        <v>215</v>
      </c>
      <c r="I9" s="35" t="s">
        <v>216</v>
      </c>
      <c r="J9" s="35" t="s">
        <v>178</v>
      </c>
      <c r="K9" s="35" t="s">
        <v>87</v>
      </c>
      <c r="L9" s="35" t="s">
        <v>87</v>
      </c>
      <c r="M9" s="35"/>
    </row>
    <row r="10">
      <c r="A10" s="35" t="s">
        <v>217</v>
      </c>
      <c r="B10" s="35" t="s">
        <v>218</v>
      </c>
      <c r="C10" s="35" t="s">
        <v>219</v>
      </c>
      <c r="D10" s="35" t="s">
        <v>220</v>
      </c>
      <c r="E10" s="35" t="s">
        <v>221</v>
      </c>
      <c r="F10" s="35" t="s">
        <v>222</v>
      </c>
      <c r="G10" s="35" t="s">
        <v>223</v>
      </c>
      <c r="H10" s="35" t="s">
        <v>224</v>
      </c>
      <c r="I10" s="35" t="s">
        <v>225</v>
      </c>
      <c r="J10" s="35" t="s">
        <v>178</v>
      </c>
      <c r="K10" s="35" t="s">
        <v>87</v>
      </c>
      <c r="L10" s="35" t="s">
        <v>87</v>
      </c>
      <c r="M10" s="35"/>
    </row>
    <row r="11">
      <c r="A11" s="35" t="s">
        <v>226</v>
      </c>
      <c r="B11" s="35" t="s">
        <v>218</v>
      </c>
      <c r="C11" s="35" t="s">
        <v>219</v>
      </c>
      <c r="D11" s="35" t="s">
        <v>227</v>
      </c>
      <c r="E11" s="35" t="s">
        <v>221</v>
      </c>
      <c r="F11" s="35" t="s">
        <v>228</v>
      </c>
      <c r="G11" s="35" t="s">
        <v>229</v>
      </c>
      <c r="H11" s="35" t="s">
        <v>230</v>
      </c>
      <c r="I11" s="35" t="s">
        <v>231</v>
      </c>
      <c r="J11" s="35" t="s">
        <v>178</v>
      </c>
      <c r="K11" s="35" t="s">
        <v>87</v>
      </c>
      <c r="L11" s="35" t="s">
        <v>87</v>
      </c>
      <c r="M11" s="35"/>
    </row>
    <row r="12">
      <c r="A12" s="35" t="s">
        <v>134</v>
      </c>
      <c r="B12" s="35" t="s">
        <v>218</v>
      </c>
      <c r="C12" s="35" t="s">
        <v>232</v>
      </c>
      <c r="D12" s="35" t="s">
        <v>233</v>
      </c>
      <c r="E12" s="35" t="s">
        <v>221</v>
      </c>
      <c r="F12" s="35" t="s">
        <v>234</v>
      </c>
      <c r="G12" s="35" t="s">
        <v>235</v>
      </c>
      <c r="H12" s="35" t="s">
        <v>236</v>
      </c>
      <c r="I12" s="35" t="s">
        <v>237</v>
      </c>
      <c r="J12" s="35" t="s">
        <v>178</v>
      </c>
      <c r="K12" s="35" t="s">
        <v>87</v>
      </c>
      <c r="L12" s="35" t="s">
        <v>87</v>
      </c>
      <c r="M12" s="35"/>
    </row>
    <row r="13">
      <c r="A13" s="35" t="s">
        <v>238</v>
      </c>
      <c r="B13" s="35" t="s">
        <v>239</v>
      </c>
      <c r="C13" s="35" t="s">
        <v>240</v>
      </c>
      <c r="D13" s="35" t="s">
        <v>241</v>
      </c>
      <c r="E13" s="35" t="s">
        <v>242</v>
      </c>
      <c r="F13" s="35" t="s">
        <v>243</v>
      </c>
      <c r="G13" s="35" t="s">
        <v>244</v>
      </c>
      <c r="H13" s="35" t="s">
        <v>245</v>
      </c>
      <c r="I13" s="35" t="s">
        <v>246</v>
      </c>
      <c r="J13" s="35" t="s">
        <v>178</v>
      </c>
      <c r="K13" s="35" t="s">
        <v>109</v>
      </c>
      <c r="L13" s="35" t="s">
        <v>87</v>
      </c>
      <c r="M13" s="35" t="s">
        <v>247</v>
      </c>
    </row>
    <row r="14">
      <c r="A14" s="35" t="s">
        <v>248</v>
      </c>
      <c r="B14" s="35" t="s">
        <v>239</v>
      </c>
      <c r="C14" s="35" t="s">
        <v>240</v>
      </c>
      <c r="D14" s="35" t="s">
        <v>249</v>
      </c>
      <c r="E14" s="35" t="s">
        <v>242</v>
      </c>
      <c r="F14" s="35" t="s">
        <v>250</v>
      </c>
      <c r="G14" s="35" t="s">
        <v>251</v>
      </c>
      <c r="H14" s="35" t="s">
        <v>252</v>
      </c>
      <c r="I14" s="35" t="s">
        <v>253</v>
      </c>
      <c r="J14" s="35" t="s">
        <v>254</v>
      </c>
      <c r="K14" s="35" t="s">
        <v>87</v>
      </c>
      <c r="L14" s="35" t="s">
        <v>87</v>
      </c>
      <c r="M14" s="35" t="s">
        <v>255</v>
      </c>
    </row>
    <row r="15">
      <c r="A15" s="35" t="s">
        <v>159</v>
      </c>
      <c r="B15" s="35" t="s">
        <v>239</v>
      </c>
      <c r="C15" s="35" t="s">
        <v>256</v>
      </c>
      <c r="D15" s="35" t="s">
        <v>257</v>
      </c>
      <c r="E15" s="35" t="s">
        <v>258</v>
      </c>
      <c r="F15" s="35" t="s">
        <v>259</v>
      </c>
      <c r="G15" s="35" t="s">
        <v>260</v>
      </c>
      <c r="H15" s="35" t="s">
        <v>261</v>
      </c>
      <c r="I15" s="35" t="s">
        <v>262</v>
      </c>
      <c r="J15" s="35" t="s">
        <v>178</v>
      </c>
      <c r="K15" s="35" t="s">
        <v>87</v>
      </c>
      <c r="L15" s="35" t="s">
        <v>87</v>
      </c>
      <c r="M15" s="35" t="s">
        <v>263</v>
      </c>
    </row>
    <row r="16">
      <c r="A16" s="35" t="s">
        <v>155</v>
      </c>
      <c r="B16" s="35" t="s">
        <v>239</v>
      </c>
      <c r="C16" s="35" t="s">
        <v>264</v>
      </c>
      <c r="D16" s="35" t="s">
        <v>265</v>
      </c>
      <c r="E16" s="35" t="s">
        <v>258</v>
      </c>
      <c r="F16" s="35" t="s">
        <v>266</v>
      </c>
      <c r="G16" s="35" t="s">
        <v>198</v>
      </c>
      <c r="H16" s="35" t="s">
        <v>267</v>
      </c>
      <c r="I16" s="35" t="s">
        <v>268</v>
      </c>
      <c r="J16" s="35" t="s">
        <v>178</v>
      </c>
      <c r="K16" s="35" t="s">
        <v>87</v>
      </c>
      <c r="L16" s="35" t="s">
        <v>87</v>
      </c>
      <c r="M16" s="35"/>
    </row>
    <row r="17">
      <c r="A17" s="35" t="s">
        <v>269</v>
      </c>
      <c r="B17" s="35" t="s">
        <v>270</v>
      </c>
      <c r="C17" s="35" t="s">
        <v>271</v>
      </c>
      <c r="D17" s="35" t="s">
        <v>272</v>
      </c>
      <c r="E17" s="35" t="s">
        <v>273</v>
      </c>
      <c r="F17" s="35" t="s">
        <v>274</v>
      </c>
      <c r="G17" s="35" t="s">
        <v>275</v>
      </c>
      <c r="H17" s="35" t="s">
        <v>276</v>
      </c>
      <c r="I17" s="35" t="s">
        <v>277</v>
      </c>
      <c r="J17" s="35" t="s">
        <v>178</v>
      </c>
      <c r="K17" s="35" t="s">
        <v>87</v>
      </c>
      <c r="L17" s="35" t="s">
        <v>87</v>
      </c>
      <c r="M17" s="35" t="s">
        <v>278</v>
      </c>
    </row>
    <row r="18">
      <c r="A18" s="35" t="s">
        <v>279</v>
      </c>
      <c r="B18" s="35" t="s">
        <v>270</v>
      </c>
      <c r="C18" s="35" t="s">
        <v>280</v>
      </c>
      <c r="D18" s="35" t="s">
        <v>281</v>
      </c>
      <c r="E18" s="35" t="s">
        <v>282</v>
      </c>
      <c r="F18" s="35" t="s">
        <v>283</v>
      </c>
      <c r="G18" s="35" t="s">
        <v>284</v>
      </c>
      <c r="H18" s="35" t="s">
        <v>285</v>
      </c>
      <c r="I18" s="35" t="s">
        <v>286</v>
      </c>
      <c r="J18" s="35" t="s">
        <v>178</v>
      </c>
      <c r="K18" s="35" t="s">
        <v>87</v>
      </c>
      <c r="L18" s="35" t="s">
        <v>87</v>
      </c>
      <c r="M18" s="35" t="s">
        <v>287</v>
      </c>
    </row>
    <row r="19">
      <c r="A19" s="35" t="s">
        <v>288</v>
      </c>
      <c r="B19" s="35" t="s">
        <v>289</v>
      </c>
      <c r="C19" s="35" t="s">
        <v>290</v>
      </c>
      <c r="D19" s="35" t="s">
        <v>291</v>
      </c>
      <c r="E19" s="35" t="s">
        <v>292</v>
      </c>
      <c r="F19" s="35" t="s">
        <v>293</v>
      </c>
      <c r="G19" s="35" t="s">
        <v>198</v>
      </c>
      <c r="H19" s="35" t="s">
        <v>294</v>
      </c>
      <c r="I19" s="35" t="s">
        <v>295</v>
      </c>
      <c r="J19" s="35" t="s">
        <v>178</v>
      </c>
      <c r="K19" s="35" t="s">
        <v>87</v>
      </c>
      <c r="L19" s="35" t="s">
        <v>87</v>
      </c>
      <c r="M19" s="35" t="s">
        <v>287</v>
      </c>
    </row>
    <row r="20">
      <c r="A20" s="35" t="s">
        <v>296</v>
      </c>
      <c r="B20" s="35" t="s">
        <v>289</v>
      </c>
      <c r="C20" s="35" t="s">
        <v>297</v>
      </c>
      <c r="D20" s="35" t="s">
        <v>298</v>
      </c>
      <c r="E20" s="35" t="s">
        <v>292</v>
      </c>
      <c r="F20" s="36" t="s">
        <v>299</v>
      </c>
      <c r="G20" s="35" t="s">
        <v>198</v>
      </c>
      <c r="H20" s="35" t="s">
        <v>300</v>
      </c>
      <c r="I20" s="35" t="s">
        <v>301</v>
      </c>
      <c r="J20" s="35" t="s">
        <v>178</v>
      </c>
      <c r="K20" s="35" t="s">
        <v>87</v>
      </c>
      <c r="L20" s="35" t="s">
        <v>87</v>
      </c>
      <c r="M20" s="35" t="s">
        <v>302</v>
      </c>
    </row>
    <row r="21">
      <c r="A21" s="35" t="s">
        <v>303</v>
      </c>
      <c r="B21" s="35" t="s">
        <v>270</v>
      </c>
      <c r="C21" s="35" t="s">
        <v>304</v>
      </c>
      <c r="D21" s="35" t="s">
        <v>305</v>
      </c>
      <c r="E21" s="35" t="s">
        <v>306</v>
      </c>
      <c r="F21" s="35" t="s">
        <v>307</v>
      </c>
      <c r="G21" s="35" t="s">
        <v>198</v>
      </c>
      <c r="H21" s="35" t="s">
        <v>308</v>
      </c>
      <c r="I21" s="35" t="s">
        <v>309</v>
      </c>
      <c r="J21" s="35" t="s">
        <v>178</v>
      </c>
      <c r="K21" s="35" t="s">
        <v>87</v>
      </c>
      <c r="L21" s="35" t="s">
        <v>87</v>
      </c>
      <c r="M21" s="35" t="s">
        <v>310</v>
      </c>
    </row>
    <row r="22">
      <c r="A22" s="35" t="s">
        <v>311</v>
      </c>
      <c r="B22" s="35" t="s">
        <v>270</v>
      </c>
      <c r="C22" s="35" t="s">
        <v>312</v>
      </c>
      <c r="D22" s="35" t="s">
        <v>313</v>
      </c>
      <c r="E22" s="35" t="s">
        <v>306</v>
      </c>
      <c r="F22" s="35" t="s">
        <v>314</v>
      </c>
      <c r="G22" s="35" t="s">
        <v>198</v>
      </c>
      <c r="H22" s="35" t="s">
        <v>315</v>
      </c>
      <c r="I22" s="35" t="s">
        <v>316</v>
      </c>
      <c r="J22" s="35" t="s">
        <v>178</v>
      </c>
      <c r="K22" s="35" t="s">
        <v>87</v>
      </c>
      <c r="L22" s="35" t="s">
        <v>87</v>
      </c>
      <c r="M22" s="35" t="s">
        <v>317</v>
      </c>
    </row>
    <row r="23">
      <c r="A23" s="35" t="s">
        <v>318</v>
      </c>
      <c r="B23" s="35" t="s">
        <v>319</v>
      </c>
      <c r="C23" s="35" t="s">
        <v>320</v>
      </c>
      <c r="D23" s="35" t="s">
        <v>321</v>
      </c>
      <c r="E23" s="35" t="s">
        <v>322</v>
      </c>
      <c r="F23" s="35" t="s">
        <v>323</v>
      </c>
      <c r="G23" s="35" t="s">
        <v>324</v>
      </c>
      <c r="H23" s="35" t="s">
        <v>325</v>
      </c>
      <c r="I23" s="35" t="s">
        <v>326</v>
      </c>
      <c r="J23" s="35" t="s">
        <v>178</v>
      </c>
      <c r="K23" s="35" t="s">
        <v>109</v>
      </c>
      <c r="L23" s="35" t="s">
        <v>87</v>
      </c>
      <c r="M23" s="35"/>
    </row>
    <row r="24">
      <c r="A24" s="35" t="s">
        <v>327</v>
      </c>
      <c r="B24" s="35" t="s">
        <v>319</v>
      </c>
      <c r="C24" s="35" t="s">
        <v>320</v>
      </c>
      <c r="D24" s="35" t="s">
        <v>328</v>
      </c>
      <c r="E24" s="35" t="s">
        <v>322</v>
      </c>
      <c r="F24" s="35" t="s">
        <v>329</v>
      </c>
      <c r="G24" s="35" t="s">
        <v>330</v>
      </c>
      <c r="H24" s="35" t="s">
        <v>331</v>
      </c>
      <c r="I24" s="35" t="s">
        <v>332</v>
      </c>
      <c r="J24" s="35" t="s">
        <v>178</v>
      </c>
      <c r="K24" s="35" t="s">
        <v>333</v>
      </c>
      <c r="L24" s="35" t="s">
        <v>87</v>
      </c>
    </row>
    <row r="25">
      <c r="A25" s="35" t="s">
        <v>334</v>
      </c>
      <c r="B25" s="35" t="s">
        <v>319</v>
      </c>
      <c r="C25" s="35" t="s">
        <v>335</v>
      </c>
      <c r="D25" s="35" t="s">
        <v>336</v>
      </c>
      <c r="E25" s="35" t="s">
        <v>322</v>
      </c>
      <c r="F25" s="35" t="s">
        <v>337</v>
      </c>
      <c r="G25" s="35" t="s">
        <v>338</v>
      </c>
      <c r="H25" s="35" t="s">
        <v>339</v>
      </c>
      <c r="I25" s="35" t="s">
        <v>340</v>
      </c>
      <c r="J25" s="35" t="s">
        <v>178</v>
      </c>
      <c r="K25" s="35" t="s">
        <v>87</v>
      </c>
      <c r="L25" s="35" t="s">
        <v>87</v>
      </c>
    </row>
    <row r="26">
      <c r="A26" s="35" t="s">
        <v>341</v>
      </c>
      <c r="B26" s="35" t="s">
        <v>319</v>
      </c>
      <c r="C26" s="35" t="s">
        <v>335</v>
      </c>
      <c r="D26" s="35" t="s">
        <v>342</v>
      </c>
      <c r="E26" s="35" t="s">
        <v>322</v>
      </c>
      <c r="F26" s="35" t="s">
        <v>343</v>
      </c>
      <c r="G26" s="35" t="s">
        <v>344</v>
      </c>
      <c r="H26" s="35" t="s">
        <v>345</v>
      </c>
      <c r="I26" s="35" t="s">
        <v>346</v>
      </c>
      <c r="J26" s="35" t="s">
        <v>254</v>
      </c>
      <c r="K26" s="35" t="s">
        <v>87</v>
      </c>
      <c r="L26" s="35" t="s">
        <v>87</v>
      </c>
    </row>
    <row r="27">
      <c r="A27" s="35" t="s">
        <v>347</v>
      </c>
      <c r="B27" s="35" t="s">
        <v>319</v>
      </c>
      <c r="C27" s="35" t="s">
        <v>348</v>
      </c>
      <c r="D27" s="35" t="s">
        <v>349</v>
      </c>
      <c r="E27" s="35" t="s">
        <v>322</v>
      </c>
      <c r="F27" s="35" t="s">
        <v>350</v>
      </c>
      <c r="G27" s="35" t="s">
        <v>351</v>
      </c>
      <c r="H27" s="35" t="s">
        <v>352</v>
      </c>
      <c r="I27" s="35" t="s">
        <v>353</v>
      </c>
      <c r="J27" s="35" t="s">
        <v>178</v>
      </c>
      <c r="K27" s="35" t="s">
        <v>87</v>
      </c>
      <c r="L27" s="35" t="s">
        <v>87</v>
      </c>
      <c r="M27" s="35" t="s">
        <v>354</v>
      </c>
    </row>
    <row r="28">
      <c r="A28" s="35" t="s">
        <v>355</v>
      </c>
      <c r="B28" s="35" t="s">
        <v>319</v>
      </c>
      <c r="C28" s="35" t="s">
        <v>348</v>
      </c>
      <c r="D28" s="35" t="s">
        <v>356</v>
      </c>
      <c r="E28" s="35" t="s">
        <v>322</v>
      </c>
      <c r="F28" s="35" t="s">
        <v>357</v>
      </c>
      <c r="G28" s="35" t="s">
        <v>358</v>
      </c>
      <c r="H28" s="35" t="s">
        <v>359</v>
      </c>
      <c r="I28" s="35" t="s">
        <v>360</v>
      </c>
      <c r="J28" s="35" t="s">
        <v>178</v>
      </c>
      <c r="K28" s="35" t="s">
        <v>87</v>
      </c>
      <c r="L28" s="35" t="s">
        <v>87</v>
      </c>
      <c r="M28" s="35"/>
    </row>
    <row r="29">
      <c r="A29" s="35" t="s">
        <v>361</v>
      </c>
      <c r="B29" s="35" t="s">
        <v>319</v>
      </c>
      <c r="C29" s="35" t="s">
        <v>348</v>
      </c>
      <c r="D29" s="35" t="s">
        <v>362</v>
      </c>
      <c r="E29" s="35" t="s">
        <v>322</v>
      </c>
      <c r="F29" s="35" t="s">
        <v>363</v>
      </c>
      <c r="G29" s="35" t="s">
        <v>364</v>
      </c>
      <c r="H29" s="35" t="s">
        <v>365</v>
      </c>
      <c r="I29" s="35" t="s">
        <v>366</v>
      </c>
      <c r="J29" s="35" t="s">
        <v>178</v>
      </c>
      <c r="K29" s="35" t="s">
        <v>87</v>
      </c>
      <c r="L29" s="35" t="s">
        <v>87</v>
      </c>
      <c r="M29" s="35"/>
    </row>
    <row r="30">
      <c r="A30" s="35" t="s">
        <v>367</v>
      </c>
      <c r="B30" s="35" t="s">
        <v>319</v>
      </c>
      <c r="C30" s="35" t="s">
        <v>348</v>
      </c>
      <c r="D30" s="35" t="s">
        <v>368</v>
      </c>
      <c r="E30" s="35" t="s">
        <v>322</v>
      </c>
      <c r="F30" s="35" t="s">
        <v>369</v>
      </c>
      <c r="G30" s="35" t="s">
        <v>370</v>
      </c>
      <c r="H30" s="35" t="s">
        <v>371</v>
      </c>
      <c r="I30" s="35" t="s">
        <v>360</v>
      </c>
      <c r="J30" s="35" t="s">
        <v>178</v>
      </c>
      <c r="K30" s="35" t="s">
        <v>87</v>
      </c>
      <c r="L30" s="35" t="s">
        <v>87</v>
      </c>
      <c r="M30" s="35"/>
    </row>
    <row r="31">
      <c r="A31" s="35" t="s">
        <v>372</v>
      </c>
      <c r="B31" s="35" t="s">
        <v>319</v>
      </c>
      <c r="C31" s="35" t="s">
        <v>348</v>
      </c>
      <c r="D31" s="35" t="s">
        <v>373</v>
      </c>
      <c r="E31" s="35" t="s">
        <v>322</v>
      </c>
      <c r="F31" s="35" t="s">
        <v>363</v>
      </c>
      <c r="G31" s="35" t="s">
        <v>374</v>
      </c>
      <c r="H31" s="35" t="s">
        <v>371</v>
      </c>
      <c r="I31" s="35" t="s">
        <v>360</v>
      </c>
      <c r="J31" s="35" t="s">
        <v>178</v>
      </c>
      <c r="K31" s="35" t="s">
        <v>87</v>
      </c>
      <c r="L31" s="35" t="s">
        <v>87</v>
      </c>
      <c r="M31" s="35"/>
    </row>
    <row r="32">
      <c r="A32" s="35" t="s">
        <v>375</v>
      </c>
      <c r="B32" s="35" t="s">
        <v>319</v>
      </c>
      <c r="C32" s="35" t="s">
        <v>348</v>
      </c>
      <c r="D32" s="35" t="s">
        <v>376</v>
      </c>
      <c r="E32" s="35" t="s">
        <v>322</v>
      </c>
      <c r="F32" s="35" t="s">
        <v>377</v>
      </c>
      <c r="G32" s="35" t="s">
        <v>378</v>
      </c>
      <c r="H32" s="35" t="s">
        <v>352</v>
      </c>
      <c r="I32" s="35" t="s">
        <v>353</v>
      </c>
      <c r="J32" s="35" t="s">
        <v>178</v>
      </c>
      <c r="K32" s="35" t="s">
        <v>87</v>
      </c>
      <c r="L32" s="35" t="s">
        <v>87</v>
      </c>
      <c r="M32" s="35"/>
    </row>
    <row r="33">
      <c r="A33" s="35" t="s">
        <v>379</v>
      </c>
      <c r="B33" s="35" t="s">
        <v>319</v>
      </c>
      <c r="C33" s="35" t="s">
        <v>348</v>
      </c>
      <c r="D33" s="35" t="s">
        <v>380</v>
      </c>
      <c r="E33" s="35" t="s">
        <v>322</v>
      </c>
      <c r="F33" s="35" t="s">
        <v>381</v>
      </c>
      <c r="G33" s="35" t="s">
        <v>382</v>
      </c>
      <c r="H33" s="35" t="s">
        <v>383</v>
      </c>
      <c r="I33" s="35" t="s">
        <v>360</v>
      </c>
      <c r="J33" s="35" t="s">
        <v>178</v>
      </c>
      <c r="K33" s="35" t="s">
        <v>87</v>
      </c>
      <c r="L33" s="35" t="s">
        <v>87</v>
      </c>
      <c r="M33" s="35"/>
    </row>
    <row r="34">
      <c r="A34" s="35" t="s">
        <v>384</v>
      </c>
      <c r="B34" s="35" t="s">
        <v>319</v>
      </c>
      <c r="C34" s="35" t="s">
        <v>348</v>
      </c>
      <c r="D34" s="35" t="s">
        <v>385</v>
      </c>
      <c r="E34" s="35" t="s">
        <v>322</v>
      </c>
      <c r="F34" s="35" t="s">
        <v>386</v>
      </c>
      <c r="G34" s="35" t="s">
        <v>387</v>
      </c>
      <c r="H34" s="35" t="s">
        <v>388</v>
      </c>
      <c r="I34" s="35" t="s">
        <v>360</v>
      </c>
      <c r="J34" s="35" t="s">
        <v>178</v>
      </c>
      <c r="K34" s="35" t="s">
        <v>87</v>
      </c>
      <c r="L34" s="35" t="s">
        <v>87</v>
      </c>
      <c r="M34" s="35"/>
    </row>
    <row r="35">
      <c r="A35" s="35" t="s">
        <v>389</v>
      </c>
      <c r="B35" s="35" t="s">
        <v>319</v>
      </c>
      <c r="C35" s="35" t="s">
        <v>348</v>
      </c>
      <c r="D35" s="35" t="s">
        <v>390</v>
      </c>
      <c r="E35" s="35" t="s">
        <v>322</v>
      </c>
      <c r="F35" s="35" t="s">
        <v>391</v>
      </c>
      <c r="G35" s="35" t="s">
        <v>392</v>
      </c>
      <c r="H35" s="35" t="s">
        <v>393</v>
      </c>
      <c r="I35" s="35" t="s">
        <v>360</v>
      </c>
      <c r="J35" s="35" t="s">
        <v>178</v>
      </c>
      <c r="K35" s="35" t="s">
        <v>87</v>
      </c>
      <c r="L35" s="35" t="s">
        <v>87</v>
      </c>
      <c r="M35" s="35"/>
    </row>
    <row r="36">
      <c r="A36" s="35" t="s">
        <v>394</v>
      </c>
      <c r="B36" s="35" t="s">
        <v>319</v>
      </c>
      <c r="C36" s="35" t="s">
        <v>348</v>
      </c>
      <c r="D36" s="35" t="s">
        <v>395</v>
      </c>
      <c r="E36" s="35" t="s">
        <v>322</v>
      </c>
      <c r="F36" s="35" t="s">
        <v>396</v>
      </c>
      <c r="G36" s="35" t="s">
        <v>397</v>
      </c>
      <c r="H36" s="35" t="s">
        <v>398</v>
      </c>
      <c r="I36" s="35" t="s">
        <v>399</v>
      </c>
      <c r="J36" s="35" t="s">
        <v>178</v>
      </c>
      <c r="K36" s="35" t="s">
        <v>87</v>
      </c>
      <c r="L36" s="35" t="s">
        <v>87</v>
      </c>
      <c r="M36" s="35"/>
    </row>
    <row r="37">
      <c r="A37" s="35" t="s">
        <v>400</v>
      </c>
      <c r="B37" s="35" t="s">
        <v>319</v>
      </c>
      <c r="C37" s="35" t="s">
        <v>401</v>
      </c>
      <c r="D37" s="35" t="s">
        <v>402</v>
      </c>
      <c r="E37" s="35" t="s">
        <v>322</v>
      </c>
      <c r="F37" s="35" t="s">
        <v>403</v>
      </c>
      <c r="G37" s="35" t="s">
        <v>324</v>
      </c>
      <c r="H37" s="35" t="s">
        <v>404</v>
      </c>
      <c r="I37" s="35" t="s">
        <v>405</v>
      </c>
      <c r="J37" s="35" t="s">
        <v>178</v>
      </c>
      <c r="K37" s="35" t="s">
        <v>87</v>
      </c>
      <c r="L37" s="35" t="s">
        <v>87</v>
      </c>
    </row>
    <row r="38">
      <c r="A38" s="35" t="s">
        <v>406</v>
      </c>
      <c r="B38" s="35" t="s">
        <v>319</v>
      </c>
      <c r="C38" s="35" t="s">
        <v>401</v>
      </c>
      <c r="D38" s="35" t="s">
        <v>407</v>
      </c>
      <c r="E38" s="35" t="s">
        <v>322</v>
      </c>
      <c r="F38" s="35" t="s">
        <v>408</v>
      </c>
      <c r="G38" s="35" t="s">
        <v>324</v>
      </c>
      <c r="H38" s="35" t="s">
        <v>409</v>
      </c>
      <c r="I38" s="35" t="s">
        <v>410</v>
      </c>
      <c r="J38" s="35" t="s">
        <v>178</v>
      </c>
      <c r="K38" s="35" t="s">
        <v>109</v>
      </c>
      <c r="L38" s="35" t="s">
        <v>87</v>
      </c>
    </row>
    <row r="39">
      <c r="A39" s="37" t="s">
        <v>411</v>
      </c>
      <c r="B39" s="37" t="s">
        <v>239</v>
      </c>
      <c r="C39" s="37" t="s">
        <v>240</v>
      </c>
      <c r="D39" s="37" t="s">
        <v>412</v>
      </c>
      <c r="E39" s="37" t="s">
        <v>242</v>
      </c>
      <c r="F39" s="37" t="s">
        <v>413</v>
      </c>
      <c r="G39" s="37" t="s">
        <v>414</v>
      </c>
      <c r="H39" s="37" t="s">
        <v>415</v>
      </c>
      <c r="I39" s="37" t="s">
        <v>416</v>
      </c>
      <c r="J39" s="38" t="s">
        <v>178</v>
      </c>
      <c r="K39" s="37" t="s">
        <v>87</v>
      </c>
      <c r="L39" s="38" t="s">
        <v>87</v>
      </c>
      <c r="M39" s="39"/>
    </row>
    <row r="40">
      <c r="A40" s="38" t="s">
        <v>417</v>
      </c>
      <c r="B40" s="38" t="s">
        <v>239</v>
      </c>
      <c r="C40" s="38" t="s">
        <v>240</v>
      </c>
      <c r="D40" s="38" t="s">
        <v>418</v>
      </c>
      <c r="E40" s="38" t="s">
        <v>242</v>
      </c>
      <c r="F40" s="38" t="s">
        <v>413</v>
      </c>
      <c r="G40" s="38" t="s">
        <v>419</v>
      </c>
      <c r="H40" s="38" t="s">
        <v>420</v>
      </c>
      <c r="I40" s="38" t="s">
        <v>416</v>
      </c>
      <c r="J40" s="38" t="s">
        <v>178</v>
      </c>
      <c r="K40" s="38" t="s">
        <v>87</v>
      </c>
      <c r="L40" s="38" t="s">
        <v>87</v>
      </c>
      <c r="M40" s="39"/>
    </row>
    <row r="41">
      <c r="A41" s="37" t="s">
        <v>421</v>
      </c>
      <c r="B41" s="37" t="s">
        <v>422</v>
      </c>
      <c r="C41" s="37" t="s">
        <v>423</v>
      </c>
      <c r="D41" s="37" t="s">
        <v>424</v>
      </c>
      <c r="E41" s="37" t="s">
        <v>425</v>
      </c>
      <c r="F41" s="37" t="s">
        <v>426</v>
      </c>
      <c r="G41" s="37" t="s">
        <v>198</v>
      </c>
      <c r="H41" s="37" t="s">
        <v>427</v>
      </c>
      <c r="I41" s="37" t="s">
        <v>428</v>
      </c>
      <c r="J41" s="38" t="s">
        <v>178</v>
      </c>
      <c r="K41" s="38" t="s">
        <v>87</v>
      </c>
      <c r="L41" s="38" t="s">
        <v>87</v>
      </c>
      <c r="M41" s="39"/>
    </row>
    <row r="42">
      <c r="A42" s="37" t="s">
        <v>429</v>
      </c>
      <c r="B42" s="37" t="s">
        <v>422</v>
      </c>
      <c r="C42" s="37" t="s">
        <v>430</v>
      </c>
      <c r="D42" s="37" t="s">
        <v>431</v>
      </c>
      <c r="E42" s="37" t="s">
        <v>432</v>
      </c>
      <c r="F42" s="37" t="s">
        <v>433</v>
      </c>
      <c r="G42" s="37" t="s">
        <v>198</v>
      </c>
      <c r="H42" s="37" t="s">
        <v>434</v>
      </c>
      <c r="I42" s="37" t="s">
        <v>435</v>
      </c>
      <c r="J42" s="38" t="s">
        <v>178</v>
      </c>
      <c r="K42" s="38" t="s">
        <v>87</v>
      </c>
      <c r="L42" s="38" t="s">
        <v>87</v>
      </c>
      <c r="M42" s="39"/>
    </row>
    <row r="43">
      <c r="A43" s="37" t="s">
        <v>436</v>
      </c>
      <c r="B43" s="37" t="s">
        <v>422</v>
      </c>
      <c r="C43" s="37" t="s">
        <v>437</v>
      </c>
      <c r="D43" s="37" t="s">
        <v>438</v>
      </c>
      <c r="E43" s="37" t="s">
        <v>439</v>
      </c>
      <c r="F43" s="37" t="s">
        <v>440</v>
      </c>
      <c r="G43" s="37" t="s">
        <v>198</v>
      </c>
      <c r="H43" s="37" t="s">
        <v>441</v>
      </c>
      <c r="I43" s="37" t="s">
        <v>442</v>
      </c>
      <c r="J43" s="38" t="s">
        <v>178</v>
      </c>
      <c r="K43" s="38" t="s">
        <v>87</v>
      </c>
      <c r="L43" s="38" t="s">
        <v>87</v>
      </c>
      <c r="M43" s="39"/>
    </row>
    <row r="44">
      <c r="A44" s="37" t="s">
        <v>443</v>
      </c>
      <c r="B44" s="37" t="s">
        <v>444</v>
      </c>
      <c r="C44" s="37" t="s">
        <v>445</v>
      </c>
      <c r="D44" s="37" t="s">
        <v>446</v>
      </c>
      <c r="E44" s="37" t="s">
        <v>447</v>
      </c>
      <c r="F44" s="37" t="s">
        <v>448</v>
      </c>
      <c r="G44" s="37" t="s">
        <v>198</v>
      </c>
      <c r="H44" s="37" t="s">
        <v>449</v>
      </c>
      <c r="I44" s="37" t="s">
        <v>450</v>
      </c>
      <c r="J44" s="38" t="s">
        <v>178</v>
      </c>
      <c r="K44" s="38" t="s">
        <v>87</v>
      </c>
      <c r="L44" s="38" t="s">
        <v>87</v>
      </c>
      <c r="M44" s="39"/>
    </row>
    <row r="45">
      <c r="A45" s="37" t="s">
        <v>451</v>
      </c>
      <c r="B45" s="37" t="s">
        <v>444</v>
      </c>
      <c r="C45" s="37" t="s">
        <v>452</v>
      </c>
      <c r="D45" s="37" t="s">
        <v>453</v>
      </c>
      <c r="E45" s="37" t="s">
        <v>454</v>
      </c>
      <c r="F45" s="37" t="s">
        <v>455</v>
      </c>
      <c r="G45" s="37" t="s">
        <v>198</v>
      </c>
      <c r="H45" s="37" t="s">
        <v>456</v>
      </c>
      <c r="I45" s="37" t="s">
        <v>457</v>
      </c>
      <c r="J45" s="38" t="s">
        <v>178</v>
      </c>
      <c r="K45" s="38" t="s">
        <v>87</v>
      </c>
      <c r="L45" s="38" t="s">
        <v>87</v>
      </c>
      <c r="M45" s="39"/>
    </row>
  </sheetData>
  <dataValidations>
    <dataValidation type="list" allowBlank="1" sqref="J4:J45">
      <formula1>"Not Run,Pass,Fail,Blocked"</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3.57"/>
    <col customWidth="1" min="2" max="2" width="40.0"/>
    <col customWidth="1" min="3" max="4" width="10.0"/>
    <col customWidth="1" min="5" max="5" width="14.0"/>
    <col customWidth="1" min="6" max="6" width="45.0"/>
  </cols>
  <sheetData>
    <row r="1" ht="14.25" customHeight="1">
      <c r="A1" s="40" t="s">
        <v>458</v>
      </c>
    </row>
    <row r="2" ht="14.25" customHeight="1">
      <c r="A2" s="35" t="s">
        <v>459</v>
      </c>
    </row>
    <row r="3" ht="14.25" customHeight="1"/>
    <row r="4" ht="14.25" customHeight="1">
      <c r="A4" s="25" t="s">
        <v>460</v>
      </c>
    </row>
    <row r="5" ht="14.25" customHeight="1">
      <c r="A5" s="25" t="s">
        <v>461</v>
      </c>
      <c r="B5" s="41">
        <v>42.0</v>
      </c>
    </row>
    <row r="6" ht="14.25" customHeight="1">
      <c r="A6" s="25" t="s">
        <v>178</v>
      </c>
      <c r="B6" s="41">
        <v>40.0</v>
      </c>
    </row>
    <row r="7" ht="14.25" customHeight="1">
      <c r="A7" s="25" t="s">
        <v>254</v>
      </c>
      <c r="B7" s="25">
        <f>COUNTIF(P1_Test_Cases!J:J,"Fail")</f>
        <v>2</v>
      </c>
    </row>
    <row r="8" ht="14.25" customHeight="1">
      <c r="A8" s="25" t="s">
        <v>462</v>
      </c>
      <c r="B8" s="41">
        <v>2.0</v>
      </c>
    </row>
    <row r="9" ht="14.25" customHeight="1">
      <c r="A9" s="25"/>
    </row>
    <row r="10" ht="14.25" customHeight="1">
      <c r="A10" s="25" t="s">
        <v>463</v>
      </c>
    </row>
    <row r="11" ht="14.25" customHeight="1">
      <c r="A11" s="42" t="s">
        <v>161</v>
      </c>
      <c r="B11" s="42" t="s">
        <v>162</v>
      </c>
      <c r="C11" s="42" t="s">
        <v>79</v>
      </c>
      <c r="D11" s="42" t="s">
        <v>61</v>
      </c>
      <c r="E11" s="42" t="s">
        <v>464</v>
      </c>
      <c r="F11" s="42" t="s">
        <v>465</v>
      </c>
    </row>
    <row r="12" ht="14.25" customHeight="1">
      <c r="A12" s="41" t="s">
        <v>169</v>
      </c>
      <c r="B12" s="35" t="s">
        <v>466</v>
      </c>
      <c r="C12" s="35" t="s">
        <v>87</v>
      </c>
      <c r="D12" s="35" t="s">
        <v>178</v>
      </c>
      <c r="E12" s="43"/>
      <c r="F12" s="35" t="s">
        <v>179</v>
      </c>
    </row>
    <row r="13" ht="14.25" customHeight="1">
      <c r="A13" s="41" t="s">
        <v>180</v>
      </c>
      <c r="B13" s="35" t="s">
        <v>466</v>
      </c>
      <c r="C13" s="35" t="s">
        <v>87</v>
      </c>
      <c r="D13" s="35" t="s">
        <v>178</v>
      </c>
      <c r="E13" s="43"/>
      <c r="F13" s="35" t="s">
        <v>186</v>
      </c>
    </row>
    <row r="14" ht="14.25" customHeight="1">
      <c r="A14" s="41" t="s">
        <v>187</v>
      </c>
      <c r="B14" s="35" t="s">
        <v>466</v>
      </c>
      <c r="C14" s="35" t="s">
        <v>87</v>
      </c>
      <c r="D14" s="35" t="s">
        <v>178</v>
      </c>
      <c r="E14" s="43"/>
      <c r="F14" s="35" t="s">
        <v>193</v>
      </c>
    </row>
    <row r="15" ht="14.25" customHeight="1">
      <c r="A15" s="41" t="s">
        <v>126</v>
      </c>
      <c r="B15" s="35" t="s">
        <v>467</v>
      </c>
      <c r="C15" s="35" t="s">
        <v>87</v>
      </c>
      <c r="D15" s="35" t="s">
        <v>178</v>
      </c>
      <c r="E15" s="43"/>
      <c r="F15" s="35" t="s">
        <v>201</v>
      </c>
    </row>
    <row r="16" ht="14.25" customHeight="1">
      <c r="A16" s="41" t="s">
        <v>202</v>
      </c>
      <c r="B16" s="35" t="s">
        <v>468</v>
      </c>
      <c r="C16" s="35" t="s">
        <v>87</v>
      </c>
      <c r="D16" s="35" t="s">
        <v>178</v>
      </c>
      <c r="E16" s="43"/>
      <c r="F16" s="44"/>
    </row>
    <row r="17" ht="14.25" customHeight="1">
      <c r="A17" s="41" t="s">
        <v>211</v>
      </c>
      <c r="B17" s="35" t="s">
        <v>468</v>
      </c>
      <c r="C17" s="35" t="s">
        <v>87</v>
      </c>
      <c r="D17" s="35" t="s">
        <v>178</v>
      </c>
      <c r="E17" s="43"/>
      <c r="F17" s="44"/>
    </row>
    <row r="18" ht="14.25" customHeight="1">
      <c r="A18" s="41" t="s">
        <v>217</v>
      </c>
      <c r="B18" s="35" t="s">
        <v>469</v>
      </c>
      <c r="C18" s="35" t="s">
        <v>87</v>
      </c>
      <c r="D18" s="35" t="s">
        <v>178</v>
      </c>
      <c r="E18" s="43"/>
      <c r="F18" s="44"/>
    </row>
    <row r="19" ht="14.25" customHeight="1">
      <c r="A19" s="41" t="s">
        <v>226</v>
      </c>
      <c r="B19" s="35" t="s">
        <v>469</v>
      </c>
      <c r="C19" s="35" t="s">
        <v>87</v>
      </c>
      <c r="D19" s="35" t="s">
        <v>178</v>
      </c>
      <c r="E19" s="43"/>
      <c r="F19" s="44"/>
    </row>
    <row r="20" ht="14.25" customHeight="1">
      <c r="A20" s="41" t="s">
        <v>134</v>
      </c>
      <c r="B20" s="35" t="s">
        <v>470</v>
      </c>
      <c r="C20" s="35" t="s">
        <v>87</v>
      </c>
      <c r="D20" s="35" t="s">
        <v>178</v>
      </c>
      <c r="E20" s="44"/>
      <c r="F20" s="44"/>
    </row>
    <row r="21" ht="14.25" customHeight="1">
      <c r="A21" s="41" t="s">
        <v>238</v>
      </c>
      <c r="B21" s="35" t="s">
        <v>471</v>
      </c>
      <c r="C21" s="35" t="s">
        <v>87</v>
      </c>
      <c r="D21" s="35" t="s">
        <v>178</v>
      </c>
      <c r="E21" s="43"/>
      <c r="F21" s="35" t="s">
        <v>247</v>
      </c>
    </row>
    <row r="22" ht="14.25" customHeight="1">
      <c r="A22" s="41" t="s">
        <v>248</v>
      </c>
      <c r="B22" s="35" t="s">
        <v>471</v>
      </c>
      <c r="C22" s="35" t="s">
        <v>87</v>
      </c>
      <c r="D22" s="35" t="s">
        <v>254</v>
      </c>
      <c r="E22" s="35" t="s">
        <v>472</v>
      </c>
      <c r="F22" s="35" t="s">
        <v>255</v>
      </c>
    </row>
    <row r="23" ht="14.25" customHeight="1">
      <c r="A23" s="41" t="s">
        <v>159</v>
      </c>
      <c r="B23" s="35" t="s">
        <v>473</v>
      </c>
      <c r="C23" s="35" t="s">
        <v>87</v>
      </c>
      <c r="D23" s="35" t="s">
        <v>178</v>
      </c>
      <c r="E23" s="43"/>
      <c r="F23" s="35" t="s">
        <v>263</v>
      </c>
    </row>
    <row r="24" ht="14.25" customHeight="1">
      <c r="A24" s="41" t="s">
        <v>155</v>
      </c>
      <c r="B24" s="35" t="s">
        <v>474</v>
      </c>
      <c r="C24" s="35" t="s">
        <v>87</v>
      </c>
      <c r="D24" s="35" t="s">
        <v>178</v>
      </c>
      <c r="E24" s="43"/>
      <c r="F24" s="44"/>
    </row>
    <row r="25" ht="14.25" customHeight="1">
      <c r="A25" s="41" t="s">
        <v>269</v>
      </c>
      <c r="B25" s="35" t="s">
        <v>475</v>
      </c>
      <c r="C25" s="35" t="s">
        <v>87</v>
      </c>
      <c r="D25" s="35" t="s">
        <v>178</v>
      </c>
      <c r="E25" s="43"/>
      <c r="F25" s="35" t="s">
        <v>278</v>
      </c>
    </row>
    <row r="26" ht="14.25" customHeight="1">
      <c r="A26" s="41" t="s">
        <v>279</v>
      </c>
      <c r="B26" s="35" t="s">
        <v>476</v>
      </c>
      <c r="C26" s="35" t="s">
        <v>87</v>
      </c>
      <c r="D26" s="35" t="s">
        <v>178</v>
      </c>
      <c r="E26" s="43"/>
      <c r="F26" s="35" t="s">
        <v>287</v>
      </c>
    </row>
    <row r="27" ht="14.25" customHeight="1">
      <c r="A27" s="41" t="s">
        <v>288</v>
      </c>
      <c r="B27" s="35" t="s">
        <v>477</v>
      </c>
      <c r="C27" s="35" t="s">
        <v>87</v>
      </c>
      <c r="D27" s="35" t="s">
        <v>178</v>
      </c>
      <c r="E27" s="43"/>
      <c r="F27" s="35" t="s">
        <v>287</v>
      </c>
    </row>
    <row r="28" ht="14.25" customHeight="1">
      <c r="A28" s="41" t="s">
        <v>296</v>
      </c>
      <c r="B28" s="35" t="s">
        <v>478</v>
      </c>
      <c r="C28" s="35" t="s">
        <v>87</v>
      </c>
      <c r="D28" s="35" t="s">
        <v>178</v>
      </c>
      <c r="E28" s="43"/>
      <c r="F28" s="35" t="s">
        <v>302</v>
      </c>
    </row>
    <row r="29" ht="14.25" customHeight="1">
      <c r="A29" s="41" t="s">
        <v>303</v>
      </c>
      <c r="B29" s="35" t="s">
        <v>479</v>
      </c>
      <c r="C29" s="35" t="s">
        <v>87</v>
      </c>
      <c r="D29" s="35" t="s">
        <v>178</v>
      </c>
      <c r="F29" s="35" t="s">
        <v>310</v>
      </c>
    </row>
    <row r="30" ht="14.25" customHeight="1">
      <c r="A30" s="41" t="s">
        <v>311</v>
      </c>
      <c r="B30" s="35" t="s">
        <v>480</v>
      </c>
      <c r="C30" s="35" t="s">
        <v>87</v>
      </c>
      <c r="D30" s="35" t="s">
        <v>178</v>
      </c>
      <c r="F30" s="35" t="s">
        <v>317</v>
      </c>
    </row>
    <row r="31" ht="14.25" customHeight="1">
      <c r="A31" s="41" t="s">
        <v>318</v>
      </c>
      <c r="B31" s="35" t="s">
        <v>481</v>
      </c>
      <c r="C31" s="35" t="s">
        <v>87</v>
      </c>
      <c r="D31" s="35" t="s">
        <v>178</v>
      </c>
      <c r="F31" s="35"/>
    </row>
    <row r="32" ht="14.25" customHeight="1">
      <c r="A32" s="41" t="s">
        <v>327</v>
      </c>
      <c r="B32" s="35" t="s">
        <v>481</v>
      </c>
      <c r="C32" s="35" t="s">
        <v>109</v>
      </c>
      <c r="D32" s="35" t="s">
        <v>178</v>
      </c>
    </row>
    <row r="33" ht="14.25" customHeight="1">
      <c r="A33" s="41" t="s">
        <v>334</v>
      </c>
      <c r="B33" s="35" t="s">
        <v>482</v>
      </c>
      <c r="C33" s="35" t="s">
        <v>87</v>
      </c>
      <c r="D33" s="35" t="s">
        <v>178</v>
      </c>
      <c r="E33" s="44"/>
    </row>
    <row r="34" ht="14.25" customHeight="1">
      <c r="A34" s="41" t="s">
        <v>341</v>
      </c>
      <c r="B34" s="35" t="s">
        <v>482</v>
      </c>
      <c r="C34" s="35" t="s">
        <v>87</v>
      </c>
      <c r="D34" s="35" t="s">
        <v>254</v>
      </c>
      <c r="E34" s="35" t="s">
        <v>483</v>
      </c>
      <c r="F34" s="44"/>
    </row>
    <row r="35" ht="14.25" customHeight="1">
      <c r="A35" s="41" t="s">
        <v>347</v>
      </c>
      <c r="B35" s="35" t="s">
        <v>484</v>
      </c>
      <c r="C35" s="35" t="s">
        <v>87</v>
      </c>
      <c r="D35" s="35" t="s">
        <v>178</v>
      </c>
      <c r="E35" s="44"/>
      <c r="F35" s="35" t="s">
        <v>485</v>
      </c>
    </row>
    <row r="36" ht="14.25" customHeight="1">
      <c r="A36" s="41" t="s">
        <v>355</v>
      </c>
      <c r="B36" s="35" t="s">
        <v>484</v>
      </c>
      <c r="C36" s="35" t="s">
        <v>87</v>
      </c>
      <c r="D36" s="35" t="s">
        <v>178</v>
      </c>
    </row>
    <row r="37" ht="14.25" customHeight="1">
      <c r="A37" s="41" t="s">
        <v>361</v>
      </c>
      <c r="B37" s="35" t="s">
        <v>484</v>
      </c>
      <c r="C37" s="35" t="s">
        <v>87</v>
      </c>
      <c r="D37" s="35" t="s">
        <v>178</v>
      </c>
    </row>
    <row r="38" ht="14.25" customHeight="1">
      <c r="A38" s="41" t="s">
        <v>367</v>
      </c>
      <c r="B38" s="35" t="s">
        <v>484</v>
      </c>
      <c r="C38" s="35" t="s">
        <v>87</v>
      </c>
      <c r="D38" s="35" t="s">
        <v>178</v>
      </c>
    </row>
    <row r="39" ht="14.25" customHeight="1">
      <c r="A39" s="41" t="s">
        <v>372</v>
      </c>
      <c r="B39" s="35" t="s">
        <v>484</v>
      </c>
      <c r="C39" s="35" t="s">
        <v>87</v>
      </c>
      <c r="D39" s="35" t="s">
        <v>178</v>
      </c>
    </row>
    <row r="40" ht="14.25" customHeight="1">
      <c r="A40" s="41" t="s">
        <v>375</v>
      </c>
      <c r="B40" s="35" t="s">
        <v>484</v>
      </c>
      <c r="C40" s="35" t="s">
        <v>87</v>
      </c>
      <c r="D40" s="35" t="s">
        <v>178</v>
      </c>
      <c r="F40" s="35" t="s">
        <v>485</v>
      </c>
    </row>
    <row r="41" ht="14.25" customHeight="1">
      <c r="A41" s="41" t="s">
        <v>379</v>
      </c>
      <c r="B41" s="35" t="s">
        <v>484</v>
      </c>
      <c r="C41" s="35" t="s">
        <v>87</v>
      </c>
      <c r="D41" s="35" t="s">
        <v>178</v>
      </c>
    </row>
    <row r="42" ht="14.25" customHeight="1">
      <c r="A42" s="41" t="s">
        <v>384</v>
      </c>
      <c r="B42" s="35" t="s">
        <v>484</v>
      </c>
      <c r="C42" s="35" t="s">
        <v>87</v>
      </c>
      <c r="D42" s="35" t="s">
        <v>178</v>
      </c>
    </row>
    <row r="43" ht="14.25" customHeight="1">
      <c r="A43" s="41" t="s">
        <v>389</v>
      </c>
      <c r="B43" s="35" t="s">
        <v>484</v>
      </c>
      <c r="C43" s="35" t="s">
        <v>87</v>
      </c>
      <c r="D43" s="35" t="s">
        <v>178</v>
      </c>
    </row>
    <row r="44" ht="14.25" customHeight="1">
      <c r="A44" s="41" t="s">
        <v>394</v>
      </c>
      <c r="B44" s="35" t="s">
        <v>484</v>
      </c>
      <c r="C44" s="35" t="s">
        <v>87</v>
      </c>
      <c r="D44" s="35" t="s">
        <v>178</v>
      </c>
    </row>
    <row r="45" ht="14.25" customHeight="1">
      <c r="A45" s="41" t="s">
        <v>400</v>
      </c>
      <c r="B45" s="35" t="s">
        <v>486</v>
      </c>
      <c r="C45" s="35" t="s">
        <v>87</v>
      </c>
      <c r="D45" s="35" t="s">
        <v>178</v>
      </c>
    </row>
    <row r="46" ht="14.25" customHeight="1">
      <c r="A46" s="41" t="s">
        <v>406</v>
      </c>
      <c r="B46" s="35" t="s">
        <v>486</v>
      </c>
      <c r="C46" s="35" t="s">
        <v>109</v>
      </c>
      <c r="D46" s="35" t="s">
        <v>178</v>
      </c>
    </row>
    <row r="47" ht="14.25" customHeight="1">
      <c r="A47" s="41" t="s">
        <v>411</v>
      </c>
      <c r="B47" s="35" t="s">
        <v>471</v>
      </c>
      <c r="C47" s="35" t="s">
        <v>87</v>
      </c>
      <c r="D47" s="35" t="s">
        <v>178</v>
      </c>
    </row>
    <row r="48" ht="14.25" customHeight="1">
      <c r="A48" s="41" t="s">
        <v>417</v>
      </c>
      <c r="B48" s="35" t="s">
        <v>471</v>
      </c>
      <c r="C48" s="35" t="s">
        <v>87</v>
      </c>
      <c r="D48" s="35" t="s">
        <v>178</v>
      </c>
    </row>
    <row r="49" ht="14.25" customHeight="1">
      <c r="A49" s="41" t="s">
        <v>421</v>
      </c>
      <c r="B49" s="35" t="s">
        <v>487</v>
      </c>
      <c r="C49" s="35" t="s">
        <v>87</v>
      </c>
      <c r="D49" s="35" t="s">
        <v>178</v>
      </c>
      <c r="F49" s="35" t="s">
        <v>488</v>
      </c>
    </row>
    <row r="50" ht="14.25" customHeight="1">
      <c r="A50" s="41" t="s">
        <v>429</v>
      </c>
      <c r="B50" s="35" t="s">
        <v>489</v>
      </c>
      <c r="C50" s="35" t="s">
        <v>87</v>
      </c>
      <c r="D50" s="35" t="s">
        <v>178</v>
      </c>
    </row>
    <row r="51" ht="14.25" customHeight="1">
      <c r="A51" s="41" t="s">
        <v>436</v>
      </c>
      <c r="B51" s="35" t="s">
        <v>490</v>
      </c>
      <c r="C51" s="35" t="s">
        <v>87</v>
      </c>
      <c r="D51" s="35" t="s">
        <v>178</v>
      </c>
    </row>
    <row r="52" ht="14.25" customHeight="1">
      <c r="A52" s="41" t="s">
        <v>443</v>
      </c>
      <c r="B52" s="35" t="s">
        <v>491</v>
      </c>
      <c r="C52" s="35" t="s">
        <v>87</v>
      </c>
      <c r="D52" s="35" t="s">
        <v>178</v>
      </c>
    </row>
    <row r="53" ht="14.25" customHeight="1">
      <c r="A53" s="41" t="s">
        <v>451</v>
      </c>
      <c r="B53" s="35" t="s">
        <v>492</v>
      </c>
      <c r="C53" s="35" t="s">
        <v>87</v>
      </c>
      <c r="D53" s="35" t="s">
        <v>178</v>
      </c>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67.57"/>
    <col customWidth="1" min="3" max="3" width="16.0"/>
    <col customWidth="1" min="4" max="4" width="33.0"/>
    <col customWidth="1" min="5" max="5" width="9.14"/>
    <col customWidth="1" min="6" max="6" width="7.86"/>
    <col customWidth="1" min="7" max="7" width="39.86"/>
    <col customWidth="1" min="8" max="8" width="59.29"/>
    <col customWidth="1" min="9" max="9" width="58.29"/>
    <col customWidth="1" min="10" max="10" width="8.57"/>
    <col customWidth="1" min="11" max="11" width="13.71"/>
    <col customWidth="1" min="12" max="12" width="29.43"/>
    <col customWidth="1" min="13" max="13" width="22.86"/>
  </cols>
  <sheetData>
    <row r="1" ht="14.25" customHeight="1">
      <c r="A1" s="1" t="s">
        <v>493</v>
      </c>
    </row>
    <row r="2" ht="14.25" customHeight="1"/>
    <row r="3" ht="14.25" customHeight="1">
      <c r="A3" s="4" t="s">
        <v>494</v>
      </c>
      <c r="B3" s="4" t="s">
        <v>495</v>
      </c>
      <c r="C3" s="4" t="s">
        <v>77</v>
      </c>
      <c r="D3" s="4" t="s">
        <v>43</v>
      </c>
      <c r="E3" s="4" t="s">
        <v>168</v>
      </c>
      <c r="F3" s="4" t="s">
        <v>79</v>
      </c>
      <c r="G3" s="4" t="s">
        <v>496</v>
      </c>
      <c r="H3" s="4" t="s">
        <v>166</v>
      </c>
      <c r="I3" s="4" t="s">
        <v>167</v>
      </c>
      <c r="J3" s="4" t="s">
        <v>61</v>
      </c>
      <c r="K3" s="4" t="s">
        <v>497</v>
      </c>
      <c r="L3" s="4" t="s">
        <v>465</v>
      </c>
      <c r="M3" s="4" t="s">
        <v>498</v>
      </c>
    </row>
    <row r="4">
      <c r="A4" s="35" t="s">
        <v>472</v>
      </c>
      <c r="B4" s="35" t="s">
        <v>499</v>
      </c>
      <c r="C4" s="35" t="s">
        <v>239</v>
      </c>
      <c r="D4" s="35" t="s">
        <v>500</v>
      </c>
      <c r="E4" s="35" t="s">
        <v>87</v>
      </c>
      <c r="F4" s="35" t="s">
        <v>87</v>
      </c>
      <c r="G4" s="35" t="s">
        <v>501</v>
      </c>
      <c r="H4" s="35" t="s">
        <v>502</v>
      </c>
      <c r="I4" s="35" t="s">
        <v>503</v>
      </c>
      <c r="J4" s="35" t="s">
        <v>504</v>
      </c>
      <c r="K4" s="45">
        <v>44990.0</v>
      </c>
      <c r="L4" s="35" t="s">
        <v>255</v>
      </c>
      <c r="M4" s="35" t="s">
        <v>505</v>
      </c>
    </row>
    <row r="5" ht="14.25" customHeight="1">
      <c r="A5" s="35" t="s">
        <v>483</v>
      </c>
      <c r="B5" s="35" t="s">
        <v>506</v>
      </c>
      <c r="C5" s="35" t="s">
        <v>319</v>
      </c>
      <c r="D5" s="35" t="s">
        <v>500</v>
      </c>
      <c r="E5" s="35" t="s">
        <v>87</v>
      </c>
      <c r="F5" s="35" t="s">
        <v>87</v>
      </c>
      <c r="G5" s="35" t="s">
        <v>507</v>
      </c>
      <c r="H5" s="35" t="s">
        <v>508</v>
      </c>
      <c r="I5" s="35" t="s">
        <v>509</v>
      </c>
      <c r="J5" s="35" t="s">
        <v>504</v>
      </c>
      <c r="K5" s="45">
        <v>44990.0</v>
      </c>
      <c r="L5" s="35" t="s">
        <v>485</v>
      </c>
      <c r="M5" s="35" t="s">
        <v>510</v>
      </c>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24.0"/>
    <col customWidth="1" min="3" max="4" width="14.0"/>
    <col customWidth="1" min="5" max="5" width="12.0"/>
    <col customWidth="1" min="6" max="6" width="22.0"/>
  </cols>
  <sheetData>
    <row r="1" ht="14.25" customHeight="1">
      <c r="A1" s="46" t="s">
        <v>511</v>
      </c>
      <c r="B1" s="15"/>
      <c r="C1" s="16"/>
      <c r="D1" s="16"/>
      <c r="E1" s="16"/>
      <c r="F1" s="16"/>
    </row>
    <row r="2" ht="14.25" customHeight="1">
      <c r="A2" s="16"/>
      <c r="B2" s="15"/>
      <c r="C2" s="16"/>
      <c r="D2" s="16"/>
      <c r="E2" s="16"/>
      <c r="F2" s="16"/>
    </row>
    <row r="3" ht="14.25" customHeight="1">
      <c r="A3" s="17" t="s">
        <v>27</v>
      </c>
      <c r="B3" s="19" t="s">
        <v>512</v>
      </c>
    </row>
    <row r="4" ht="14.25" customHeight="1">
      <c r="A4" s="17" t="s">
        <v>29</v>
      </c>
      <c r="B4" s="19" t="s">
        <v>513</v>
      </c>
    </row>
    <row r="5" ht="14.25" customHeight="1">
      <c r="A5" s="17" t="s">
        <v>31</v>
      </c>
      <c r="B5" s="19" t="s">
        <v>514</v>
      </c>
    </row>
    <row r="6" ht="14.25" customHeight="1">
      <c r="A6" s="17" t="s">
        <v>33</v>
      </c>
      <c r="B6" s="19" t="s">
        <v>515</v>
      </c>
    </row>
    <row r="7" ht="14.25" customHeight="1">
      <c r="A7" s="17" t="s">
        <v>35</v>
      </c>
      <c r="B7" s="19" t="s">
        <v>516</v>
      </c>
    </row>
    <row r="8" ht="14.25" customHeight="1">
      <c r="A8" s="17" t="s">
        <v>37</v>
      </c>
      <c r="B8" s="19" t="s">
        <v>517</v>
      </c>
    </row>
    <row r="9" ht="14.25" customHeight="1">
      <c r="A9" s="17" t="s">
        <v>39</v>
      </c>
      <c r="B9" s="19" t="s">
        <v>518</v>
      </c>
    </row>
    <row r="10" ht="14.25" customHeight="1">
      <c r="A10" s="17" t="s">
        <v>41</v>
      </c>
      <c r="B10" s="19" t="s">
        <v>519</v>
      </c>
    </row>
    <row r="11" ht="14.25" customHeight="1">
      <c r="A11" s="17" t="s">
        <v>43</v>
      </c>
      <c r="B11" s="19" t="s">
        <v>520</v>
      </c>
    </row>
    <row r="12" ht="14.25" customHeight="1">
      <c r="A12" s="17" t="s">
        <v>45</v>
      </c>
      <c r="B12" s="19" t="s">
        <v>521</v>
      </c>
    </row>
    <row r="13" ht="14.25" customHeight="1">
      <c r="A13" s="17" t="s">
        <v>47</v>
      </c>
      <c r="B13" s="19" t="s">
        <v>522</v>
      </c>
    </row>
    <row r="14" ht="14.25" customHeight="1">
      <c r="A14" s="17" t="s">
        <v>49</v>
      </c>
      <c r="B14" s="19" t="s">
        <v>523</v>
      </c>
    </row>
    <row r="15" ht="14.25" customHeight="1">
      <c r="A15" s="17" t="s">
        <v>51</v>
      </c>
      <c r="B15" s="19" t="s">
        <v>524</v>
      </c>
    </row>
    <row r="16" ht="14.25" customHeight="1">
      <c r="A16" s="17" t="s">
        <v>53</v>
      </c>
      <c r="B16" s="20" t="s">
        <v>54</v>
      </c>
    </row>
    <row r="17" ht="14.25" customHeight="1">
      <c r="A17" s="17" t="s">
        <v>55</v>
      </c>
      <c r="B17" s="20" t="s">
        <v>525</v>
      </c>
    </row>
    <row r="18" ht="14.25" customHeight="1">
      <c r="A18" s="21"/>
      <c r="B18" s="21"/>
      <c r="C18" s="21"/>
      <c r="D18" s="21"/>
      <c r="E18" s="21"/>
      <c r="F18" s="21"/>
    </row>
    <row r="19" ht="14.25" customHeight="1">
      <c r="A19" s="4" t="s">
        <v>57</v>
      </c>
      <c r="B19" s="4" t="s">
        <v>58</v>
      </c>
      <c r="C19" s="4" t="s">
        <v>59</v>
      </c>
      <c r="D19" s="4" t="s">
        <v>60</v>
      </c>
      <c r="E19" s="4" t="s">
        <v>61</v>
      </c>
      <c r="F19" s="4" t="s">
        <v>62</v>
      </c>
    </row>
    <row r="20" ht="14.25" customHeight="1">
      <c r="A20" s="6" t="s">
        <v>63</v>
      </c>
      <c r="B20" s="6" t="s">
        <v>64</v>
      </c>
      <c r="C20" s="47">
        <v>45811.0</v>
      </c>
      <c r="D20" s="47">
        <v>45811.0</v>
      </c>
      <c r="E20" s="6" t="s">
        <v>65</v>
      </c>
      <c r="F20" s="23" t="s">
        <v>66</v>
      </c>
    </row>
    <row r="21" ht="14.25" customHeight="1">
      <c r="A21" s="6" t="s">
        <v>67</v>
      </c>
      <c r="B21" s="6" t="s">
        <v>64</v>
      </c>
      <c r="C21" s="47">
        <v>45811.0</v>
      </c>
      <c r="D21" s="47">
        <v>45811.0</v>
      </c>
      <c r="E21" s="6" t="s">
        <v>65</v>
      </c>
      <c r="F21" s="24" t="s">
        <v>526</v>
      </c>
    </row>
    <row r="22" ht="14.25" customHeight="1">
      <c r="A22" s="48" t="s">
        <v>69</v>
      </c>
      <c r="B22" s="48" t="s">
        <v>64</v>
      </c>
      <c r="C22" s="49">
        <v>45813.0</v>
      </c>
      <c r="D22" s="49">
        <v>45813.0</v>
      </c>
      <c r="E22" s="6" t="s">
        <v>65</v>
      </c>
      <c r="F22" s="24" t="s">
        <v>527</v>
      </c>
    </row>
    <row r="23" ht="14.25" customHeight="1">
      <c r="A23" s="6" t="s">
        <v>71</v>
      </c>
      <c r="B23" s="6" t="s">
        <v>64</v>
      </c>
      <c r="C23" s="47">
        <v>45814.0</v>
      </c>
      <c r="D23" s="47">
        <v>45814.0</v>
      </c>
      <c r="E23" s="6" t="s">
        <v>65</v>
      </c>
      <c r="F23" s="24" t="s">
        <v>528</v>
      </c>
    </row>
    <row r="24" ht="14.25" customHeight="1">
      <c r="A24" s="6" t="s">
        <v>73</v>
      </c>
      <c r="B24" s="6" t="s">
        <v>64</v>
      </c>
      <c r="C24" s="47">
        <v>45817.0</v>
      </c>
      <c r="D24" s="47">
        <v>45817.0</v>
      </c>
      <c r="E24" s="6" t="s">
        <v>65</v>
      </c>
      <c r="F24" s="24" t="s">
        <v>74</v>
      </c>
    </row>
  </sheetData>
  <mergeCells count="15">
    <mergeCell ref="B10:F10"/>
    <mergeCell ref="B11:F11"/>
    <mergeCell ref="B12:F12"/>
    <mergeCell ref="B13:F13"/>
    <mergeCell ref="B14:F14"/>
    <mergeCell ref="B15:F15"/>
    <mergeCell ref="B16:F16"/>
    <mergeCell ref="B17:F17"/>
    <mergeCell ref="B3:F3"/>
    <mergeCell ref="B4:F4"/>
    <mergeCell ref="B5:F5"/>
    <mergeCell ref="B6:F6"/>
    <mergeCell ref="B7:F7"/>
    <mergeCell ref="B8:F8"/>
    <mergeCell ref="B9:F9"/>
  </mergeCells>
  <dataValidations>
    <dataValidation type="list" allowBlank="1" sqref="E20:E24">
      <formula1>"Planned,In Progress,Done"</formula1>
    </dataValidation>
  </dataValidations>
  <hyperlinks>
    <hyperlink r:id="rId1" ref="B16"/>
    <hyperlink r:id="rId2" ref="B17"/>
  </hyperlinks>
  <printOptions/>
  <pageMargins bottom="0.75" footer="0.0" header="0.0" left="0.7" right="0.7" top="0.75"/>
  <pageSetup orientation="landscape"/>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6.0"/>
    <col customWidth="1" min="3" max="3" width="44.0"/>
    <col customWidth="1" min="4" max="5" width="12.0"/>
    <col customWidth="1" min="6" max="6" width="18.0"/>
    <col customWidth="1" min="7" max="7" width="16.0"/>
    <col customWidth="1" min="8" max="8" width="22.0"/>
  </cols>
  <sheetData>
    <row r="1" ht="14.25" customHeight="1">
      <c r="A1" s="40" t="s">
        <v>529</v>
      </c>
      <c r="B1" s="25"/>
    </row>
    <row r="2" ht="14.25" customHeight="1">
      <c r="B2" s="25"/>
    </row>
    <row r="3" ht="14.25" customHeight="1">
      <c r="A3" s="4" t="s">
        <v>76</v>
      </c>
      <c r="B3" s="4" t="s">
        <v>77</v>
      </c>
      <c r="C3" s="4" t="s">
        <v>78</v>
      </c>
      <c r="D3" s="4" t="s">
        <v>79</v>
      </c>
      <c r="E3" s="4" t="s">
        <v>80</v>
      </c>
      <c r="F3" s="4" t="s">
        <v>81</v>
      </c>
      <c r="G3" s="4" t="s">
        <v>82</v>
      </c>
      <c r="H3" s="4" t="s">
        <v>83</v>
      </c>
    </row>
    <row r="4" ht="14.25" customHeight="1">
      <c r="A4" s="26" t="s">
        <v>84</v>
      </c>
      <c r="B4" s="26" t="s">
        <v>85</v>
      </c>
      <c r="C4" s="27" t="s">
        <v>530</v>
      </c>
      <c r="D4" s="27" t="s">
        <v>87</v>
      </c>
      <c r="E4" s="27" t="s">
        <v>531</v>
      </c>
      <c r="F4" s="27" t="s">
        <v>532</v>
      </c>
      <c r="G4" s="27" t="s">
        <v>90</v>
      </c>
      <c r="H4" s="27" t="s">
        <v>533</v>
      </c>
    </row>
    <row r="5" ht="14.25" customHeight="1">
      <c r="A5" s="28" t="s">
        <v>92</v>
      </c>
      <c r="B5" s="28" t="s">
        <v>85</v>
      </c>
      <c r="C5" s="29" t="s">
        <v>534</v>
      </c>
      <c r="D5" s="29" t="s">
        <v>87</v>
      </c>
      <c r="E5" s="29" t="s">
        <v>535</v>
      </c>
      <c r="F5" s="29" t="s">
        <v>126</v>
      </c>
      <c r="G5" s="29" t="s">
        <v>90</v>
      </c>
      <c r="H5" s="29" t="s">
        <v>536</v>
      </c>
    </row>
    <row r="6" ht="14.25" customHeight="1">
      <c r="A6" s="28" t="s">
        <v>97</v>
      </c>
      <c r="B6" s="28" t="s">
        <v>85</v>
      </c>
      <c r="C6" s="29" t="s">
        <v>537</v>
      </c>
      <c r="D6" s="29" t="s">
        <v>87</v>
      </c>
      <c r="E6" s="29" t="s">
        <v>538</v>
      </c>
      <c r="F6" s="29" t="s">
        <v>202</v>
      </c>
      <c r="G6" s="29" t="s">
        <v>90</v>
      </c>
      <c r="H6" s="29" t="s">
        <v>539</v>
      </c>
    </row>
    <row r="7" ht="14.25" customHeight="1">
      <c r="A7" s="28" t="s">
        <v>102</v>
      </c>
      <c r="B7" s="28" t="s">
        <v>540</v>
      </c>
      <c r="C7" s="29" t="s">
        <v>541</v>
      </c>
      <c r="D7" s="29" t="s">
        <v>109</v>
      </c>
      <c r="E7" s="29" t="s">
        <v>542</v>
      </c>
      <c r="F7" s="29" t="s">
        <v>211</v>
      </c>
      <c r="G7" s="29" t="s">
        <v>90</v>
      </c>
      <c r="H7" s="29" t="s">
        <v>543</v>
      </c>
    </row>
    <row r="8" ht="14.25" customHeight="1">
      <c r="A8" s="26" t="s">
        <v>107</v>
      </c>
      <c r="B8" s="26" t="s">
        <v>444</v>
      </c>
      <c r="C8" s="30" t="s">
        <v>544</v>
      </c>
      <c r="D8" s="30" t="s">
        <v>87</v>
      </c>
      <c r="E8" s="30" t="s">
        <v>545</v>
      </c>
      <c r="F8" s="30" t="s">
        <v>217</v>
      </c>
      <c r="G8" s="30" t="s">
        <v>90</v>
      </c>
      <c r="H8" s="30" t="s">
        <v>546</v>
      </c>
    </row>
  </sheetData>
  <dataValidations>
    <dataValidation type="list" allowBlank="1" sqref="G4:G8">
      <formula1>"Covered,Partial,Gap,Not Applicable"</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29"/>
    <col customWidth="1" min="2" max="2" width="25.14"/>
    <col customWidth="1" min="3" max="3" width="19.14"/>
    <col customWidth="1" min="4" max="4" width="14.14"/>
    <col customWidth="1" min="5" max="5" width="48.43"/>
    <col customWidth="1" min="6" max="6" width="87.86"/>
    <col customWidth="1" min="7" max="7" width="102.29"/>
    <col customWidth="1" min="8" max="8" width="125.14"/>
    <col customWidth="1" min="9" max="9" width="185.86"/>
    <col customWidth="1" min="10" max="10" width="7.71"/>
    <col customWidth="1" min="11" max="11" width="8.14"/>
    <col customWidth="1" min="12" max="12" width="8.29"/>
    <col customWidth="1" min="13" max="13" width="63.43"/>
  </cols>
  <sheetData>
    <row r="1" ht="14.25" customHeight="1">
      <c r="A1" s="1" t="s">
        <v>547</v>
      </c>
    </row>
    <row r="2" ht="14.25" customHeight="1"/>
    <row r="3" ht="14.25" customHeight="1">
      <c r="A3" s="34" t="s">
        <v>161</v>
      </c>
      <c r="B3" s="34" t="s">
        <v>77</v>
      </c>
      <c r="C3" s="34" t="s">
        <v>162</v>
      </c>
      <c r="D3" s="34" t="s">
        <v>80</v>
      </c>
      <c r="E3" s="34" t="s">
        <v>163</v>
      </c>
      <c r="F3" s="34" t="s">
        <v>164</v>
      </c>
      <c r="G3" s="34" t="s">
        <v>165</v>
      </c>
      <c r="H3" s="4" t="s">
        <v>166</v>
      </c>
      <c r="I3" s="4" t="s">
        <v>167</v>
      </c>
      <c r="J3" s="4" t="s">
        <v>61</v>
      </c>
      <c r="K3" s="34" t="s">
        <v>168</v>
      </c>
      <c r="L3" s="34" t="s">
        <v>79</v>
      </c>
      <c r="M3" s="34" t="s">
        <v>83</v>
      </c>
    </row>
    <row r="4" ht="14.25" customHeight="1">
      <c r="A4" s="50" t="s">
        <v>169</v>
      </c>
      <c r="B4" s="50" t="s">
        <v>548</v>
      </c>
      <c r="C4" s="50" t="s">
        <v>549</v>
      </c>
      <c r="D4" s="50" t="s">
        <v>172</v>
      </c>
      <c r="E4" s="35" t="s">
        <v>550</v>
      </c>
      <c r="F4" s="35" t="s">
        <v>551</v>
      </c>
      <c r="G4" s="35" t="s">
        <v>552</v>
      </c>
      <c r="H4" s="35" t="s">
        <v>553</v>
      </c>
      <c r="I4" s="35" t="s">
        <v>554</v>
      </c>
      <c r="J4" s="35" t="s">
        <v>178</v>
      </c>
      <c r="K4" s="35" t="s">
        <v>66</v>
      </c>
      <c r="L4" s="35" t="s">
        <v>87</v>
      </c>
      <c r="M4" s="35" t="s">
        <v>555</v>
      </c>
    </row>
    <row r="5" ht="14.25" customHeight="1">
      <c r="A5" s="50" t="s">
        <v>180</v>
      </c>
      <c r="B5" s="50" t="s">
        <v>548</v>
      </c>
      <c r="C5" s="50" t="s">
        <v>549</v>
      </c>
      <c r="D5" s="50" t="s">
        <v>181</v>
      </c>
      <c r="E5" s="35" t="s">
        <v>550</v>
      </c>
      <c r="F5" s="35" t="s">
        <v>556</v>
      </c>
      <c r="G5" s="35" t="s">
        <v>557</v>
      </c>
      <c r="H5" s="35" t="s">
        <v>558</v>
      </c>
      <c r="I5" s="51">
        <v>45292.0</v>
      </c>
      <c r="J5" s="35" t="s">
        <v>178</v>
      </c>
      <c r="K5" s="35" t="s">
        <v>66</v>
      </c>
      <c r="L5" s="35" t="s">
        <v>87</v>
      </c>
      <c r="M5" s="35" t="s">
        <v>555</v>
      </c>
    </row>
    <row r="6" ht="14.25" customHeight="1">
      <c r="A6" s="50" t="s">
        <v>187</v>
      </c>
      <c r="B6" s="50" t="s">
        <v>548</v>
      </c>
      <c r="C6" s="50" t="s">
        <v>549</v>
      </c>
      <c r="D6" s="50" t="s">
        <v>188</v>
      </c>
      <c r="E6" s="35" t="s">
        <v>550</v>
      </c>
      <c r="F6" s="35" t="s">
        <v>559</v>
      </c>
      <c r="G6" s="35" t="s">
        <v>560</v>
      </c>
      <c r="H6" s="35" t="s">
        <v>561</v>
      </c>
      <c r="I6" s="52" t="s">
        <v>562</v>
      </c>
      <c r="J6" s="35" t="s">
        <v>178</v>
      </c>
      <c r="K6" s="35" t="s">
        <v>66</v>
      </c>
      <c r="L6" s="35" t="s">
        <v>109</v>
      </c>
      <c r="M6" s="35" t="s">
        <v>555</v>
      </c>
    </row>
    <row r="7" ht="14.25" customHeight="1">
      <c r="A7" s="50" t="s">
        <v>126</v>
      </c>
      <c r="B7" s="50" t="s">
        <v>548</v>
      </c>
      <c r="C7" s="50" t="s">
        <v>563</v>
      </c>
      <c r="D7" s="50" t="s">
        <v>535</v>
      </c>
      <c r="E7" s="35" t="s">
        <v>564</v>
      </c>
      <c r="F7" s="35" t="s">
        <v>565</v>
      </c>
      <c r="G7" s="35" t="s">
        <v>566</v>
      </c>
      <c r="H7" s="36" t="s">
        <v>567</v>
      </c>
      <c r="I7" s="35" t="s">
        <v>568</v>
      </c>
      <c r="J7" s="35" t="s">
        <v>254</v>
      </c>
      <c r="K7" s="35" t="s">
        <v>569</v>
      </c>
      <c r="L7" s="35" t="s">
        <v>109</v>
      </c>
      <c r="M7" s="35" t="s">
        <v>570</v>
      </c>
    </row>
    <row r="8" ht="14.25" customHeight="1">
      <c r="A8" s="50" t="s">
        <v>202</v>
      </c>
      <c r="B8" s="50" t="s">
        <v>571</v>
      </c>
      <c r="C8" s="50" t="s">
        <v>572</v>
      </c>
      <c r="D8" s="50" t="s">
        <v>573</v>
      </c>
      <c r="E8" s="35" t="s">
        <v>574</v>
      </c>
      <c r="F8" s="35" t="s">
        <v>575</v>
      </c>
      <c r="G8" s="35" t="s">
        <v>576</v>
      </c>
      <c r="H8" s="35" t="s">
        <v>577</v>
      </c>
      <c r="I8" s="35" t="s">
        <v>578</v>
      </c>
      <c r="J8" s="35" t="s">
        <v>178</v>
      </c>
      <c r="K8" s="35" t="s">
        <v>66</v>
      </c>
      <c r="L8" s="35" t="s">
        <v>87</v>
      </c>
      <c r="M8" s="35" t="s">
        <v>579</v>
      </c>
    </row>
    <row r="9" ht="14.25" customHeight="1">
      <c r="A9" s="50" t="s">
        <v>211</v>
      </c>
      <c r="B9" s="50" t="s">
        <v>540</v>
      </c>
      <c r="C9" s="50" t="s">
        <v>580</v>
      </c>
      <c r="D9" s="50" t="s">
        <v>542</v>
      </c>
      <c r="E9" s="35" t="s">
        <v>581</v>
      </c>
      <c r="F9" s="35" t="s">
        <v>582</v>
      </c>
      <c r="G9" s="35" t="s">
        <v>583</v>
      </c>
      <c r="H9" s="35" t="s">
        <v>584</v>
      </c>
      <c r="I9" s="35" t="s">
        <v>585</v>
      </c>
      <c r="J9" s="35" t="s">
        <v>178</v>
      </c>
      <c r="K9" s="35" t="s">
        <v>66</v>
      </c>
      <c r="L9" s="35" t="s">
        <v>109</v>
      </c>
      <c r="M9" s="35"/>
    </row>
    <row r="10" ht="14.25" customHeight="1">
      <c r="A10" s="50" t="s">
        <v>217</v>
      </c>
      <c r="B10" s="50" t="s">
        <v>444</v>
      </c>
      <c r="C10" s="50" t="s">
        <v>586</v>
      </c>
      <c r="D10" s="50" t="s">
        <v>545</v>
      </c>
      <c r="E10" s="35" t="s">
        <v>550</v>
      </c>
      <c r="F10" s="35" t="s">
        <v>587</v>
      </c>
      <c r="G10" s="35" t="s">
        <v>588</v>
      </c>
      <c r="H10" s="35" t="s">
        <v>589</v>
      </c>
      <c r="I10" s="35" t="s">
        <v>590</v>
      </c>
      <c r="J10" s="35" t="s">
        <v>178</v>
      </c>
      <c r="K10" s="35" t="s">
        <v>66</v>
      </c>
      <c r="L10" s="35" t="s">
        <v>87</v>
      </c>
      <c r="M10" s="35"/>
    </row>
  </sheetData>
  <dataValidations>
    <dataValidation type="list" allowBlank="1" sqref="J4:J10">
      <formula1>"Not Run,Pass,Fail,Blocked"</formula1>
    </dataValidation>
  </dataValidations>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3.57"/>
    <col customWidth="1" min="2" max="2" width="40.0"/>
    <col customWidth="1" min="3" max="4" width="10.0"/>
    <col customWidth="1" min="5" max="5" width="14.0"/>
    <col customWidth="1" min="6" max="6" width="45.0"/>
  </cols>
  <sheetData>
    <row r="1" ht="14.25" customHeight="1">
      <c r="A1" s="40" t="s">
        <v>591</v>
      </c>
    </row>
    <row r="2" ht="14.25" customHeight="1">
      <c r="A2" s="35" t="s">
        <v>459</v>
      </c>
    </row>
    <row r="3" ht="14.25" customHeight="1"/>
    <row r="4" ht="14.25" customHeight="1">
      <c r="A4" s="25" t="s">
        <v>460</v>
      </c>
    </row>
    <row r="5" ht="14.25" customHeight="1">
      <c r="A5" s="25" t="s">
        <v>461</v>
      </c>
      <c r="B5" s="41">
        <v>7.0</v>
      </c>
    </row>
    <row r="6" ht="14.25" customHeight="1">
      <c r="A6" s="25" t="s">
        <v>178</v>
      </c>
      <c r="B6" s="41">
        <v>6.0</v>
      </c>
    </row>
    <row r="7" ht="14.25" customHeight="1">
      <c r="A7" s="25" t="s">
        <v>254</v>
      </c>
      <c r="B7" s="41">
        <v>1.0</v>
      </c>
    </row>
    <row r="8" ht="14.25" customHeight="1">
      <c r="A8" s="25" t="s">
        <v>462</v>
      </c>
      <c r="B8" s="41">
        <v>1.0</v>
      </c>
    </row>
    <row r="9" ht="14.25" customHeight="1">
      <c r="A9" s="25"/>
    </row>
    <row r="10" ht="14.25" customHeight="1">
      <c r="A10" s="25" t="s">
        <v>463</v>
      </c>
    </row>
    <row r="11" ht="14.25" customHeight="1">
      <c r="A11" s="42" t="s">
        <v>161</v>
      </c>
      <c r="B11" s="42" t="s">
        <v>162</v>
      </c>
      <c r="C11" s="42" t="s">
        <v>79</v>
      </c>
      <c r="D11" s="42" t="s">
        <v>61</v>
      </c>
      <c r="E11" s="42" t="s">
        <v>464</v>
      </c>
      <c r="F11" s="42" t="s">
        <v>465</v>
      </c>
    </row>
    <row r="12" ht="14.25" customHeight="1">
      <c r="A12" s="53" t="s">
        <v>169</v>
      </c>
      <c r="B12" s="35" t="s">
        <v>549</v>
      </c>
      <c r="C12" s="35" t="s">
        <v>87</v>
      </c>
      <c r="D12" s="35" t="s">
        <v>178</v>
      </c>
      <c r="E12" s="43"/>
      <c r="F12" s="35" t="s">
        <v>555</v>
      </c>
    </row>
    <row r="13" ht="14.25" customHeight="1">
      <c r="A13" s="53" t="s">
        <v>180</v>
      </c>
      <c r="B13" s="35" t="s">
        <v>549</v>
      </c>
      <c r="C13" s="35" t="s">
        <v>87</v>
      </c>
      <c r="D13" s="35" t="s">
        <v>178</v>
      </c>
      <c r="E13" s="43"/>
      <c r="F13" s="35" t="s">
        <v>555</v>
      </c>
    </row>
    <row r="14" ht="14.25" customHeight="1">
      <c r="A14" s="53" t="s">
        <v>187</v>
      </c>
      <c r="B14" s="35" t="s">
        <v>549</v>
      </c>
      <c r="C14" s="35" t="s">
        <v>109</v>
      </c>
      <c r="D14" s="35" t="s">
        <v>178</v>
      </c>
      <c r="E14" s="43"/>
      <c r="F14" s="35" t="s">
        <v>555</v>
      </c>
    </row>
    <row r="15" ht="14.25" customHeight="1">
      <c r="A15" s="53" t="s">
        <v>126</v>
      </c>
      <c r="B15" s="35" t="s">
        <v>563</v>
      </c>
      <c r="C15" s="35" t="s">
        <v>87</v>
      </c>
      <c r="D15" s="35" t="s">
        <v>254</v>
      </c>
      <c r="E15" s="35" t="s">
        <v>592</v>
      </c>
      <c r="F15" s="35" t="s">
        <v>593</v>
      </c>
    </row>
    <row r="16" ht="14.25" customHeight="1">
      <c r="A16" s="53" t="s">
        <v>202</v>
      </c>
      <c r="B16" s="35" t="s">
        <v>571</v>
      </c>
      <c r="C16" s="35" t="s">
        <v>87</v>
      </c>
      <c r="D16" s="35" t="s">
        <v>178</v>
      </c>
      <c r="E16" s="43"/>
      <c r="F16" s="35" t="s">
        <v>579</v>
      </c>
    </row>
    <row r="17" ht="14.25" customHeight="1">
      <c r="A17" s="53" t="s">
        <v>211</v>
      </c>
      <c r="B17" s="35" t="s">
        <v>580</v>
      </c>
      <c r="C17" s="35" t="s">
        <v>109</v>
      </c>
      <c r="D17" s="35" t="s">
        <v>178</v>
      </c>
      <c r="E17" s="43"/>
    </row>
    <row r="18" ht="14.25" customHeight="1">
      <c r="A18" s="53" t="s">
        <v>217</v>
      </c>
      <c r="B18" s="35" t="s">
        <v>594</v>
      </c>
      <c r="C18" s="35" t="s">
        <v>87</v>
      </c>
      <c r="D18" s="35" t="s">
        <v>178</v>
      </c>
      <c r="E18" s="43"/>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71"/>
    <col customWidth="1" min="2" max="2" width="39.43"/>
    <col customWidth="1" min="3" max="3" width="25.14"/>
    <col customWidth="1" min="4" max="4" width="24.0"/>
    <col customWidth="1" min="5" max="5" width="8.14"/>
    <col customWidth="1" min="6" max="6" width="7.57"/>
    <col customWidth="1" min="7" max="7" width="47.86"/>
    <col customWidth="1" min="8" max="8" width="125.14"/>
    <col customWidth="1" min="9" max="9" width="116.43"/>
    <col customWidth="1" min="10" max="10" width="6.57"/>
    <col customWidth="1" min="11" max="11" width="8.86"/>
    <col customWidth="1" min="12" max="12" width="12.43"/>
    <col customWidth="1" min="13" max="13" width="43.57"/>
  </cols>
  <sheetData>
    <row r="1" ht="14.25" customHeight="1">
      <c r="A1" s="1" t="s">
        <v>595</v>
      </c>
    </row>
    <row r="2" ht="14.25" customHeight="1"/>
    <row r="3" ht="14.25" customHeight="1">
      <c r="A3" s="4" t="s">
        <v>494</v>
      </c>
      <c r="B3" s="4" t="s">
        <v>495</v>
      </c>
      <c r="C3" s="4" t="s">
        <v>77</v>
      </c>
      <c r="D3" s="4" t="s">
        <v>43</v>
      </c>
      <c r="E3" s="4" t="s">
        <v>168</v>
      </c>
      <c r="F3" s="4" t="s">
        <v>79</v>
      </c>
      <c r="G3" s="4" t="s">
        <v>496</v>
      </c>
      <c r="H3" s="4" t="s">
        <v>166</v>
      </c>
      <c r="I3" s="4" t="s">
        <v>167</v>
      </c>
      <c r="J3" s="4" t="s">
        <v>61</v>
      </c>
      <c r="K3" s="4" t="s">
        <v>596</v>
      </c>
      <c r="L3" s="4" t="s">
        <v>597</v>
      </c>
      <c r="M3" s="34" t="s">
        <v>465</v>
      </c>
    </row>
    <row r="4" ht="14.25" customHeight="1">
      <c r="A4" s="41" t="s">
        <v>592</v>
      </c>
      <c r="B4" s="35" t="s">
        <v>598</v>
      </c>
      <c r="C4" s="35" t="s">
        <v>548</v>
      </c>
      <c r="D4" s="35" t="s">
        <v>599</v>
      </c>
      <c r="E4" s="35" t="s">
        <v>569</v>
      </c>
      <c r="F4" s="35" t="s">
        <v>109</v>
      </c>
      <c r="G4" s="35" t="s">
        <v>600</v>
      </c>
      <c r="H4" s="35" t="s">
        <v>601</v>
      </c>
      <c r="I4" s="35" t="s">
        <v>602</v>
      </c>
      <c r="J4" s="35" t="s">
        <v>504</v>
      </c>
      <c r="K4" s="35" t="s">
        <v>64</v>
      </c>
      <c r="L4" s="35" t="s">
        <v>254</v>
      </c>
      <c r="M4" s="35" t="s">
        <v>593</v>
      </c>
    </row>
  </sheetData>
  <printOptions/>
  <pageMargins bottom="0.75" footer="0.0" header="0.0" left="0.7" right="0.7" top="0.75"/>
  <pageSetup orientation="landscape"/>
  <drawing r:id="rId1"/>
</worksheet>
</file>